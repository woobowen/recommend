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GRID实验总表" sheetId="1" r:id="rId1"/>
  </sheets>
  <definedNames>
    <definedName name="_xlnm.Print_Area" localSheetId="0">'GRID实验总表'!$A$1:$AG$47,'GRID实验总表'!$A$51:$P$150</definedName>
    <definedName name="_xlnm.Print_Titles" localSheetId="0">'GRID实验总表'!$7:$8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[Blue]+0.00000000;[Red]-0.00000000;0.00000000"/>
    <numFmt numFmtId="166" formatCode="[Blue]+0.00%;[Red]-0.00%;0.00%"/>
    <numFmt numFmtId="167" formatCode="0.0000"/>
  </numFmts>
  <fonts count="5">
    <font>
      <sz val="10"/>
      <name val="Noto Sans CJK SC"/>
      <family val="2"/>
      <color rgb="FF263445"/>
    </font>
    <font>
      <sz val="20"/>
      <name val="Noto Sans CJK SC"/>
      <family val="2"/>
      <color rgb="FFFFFFFF"/>
      <b/>
    </font>
    <font>
      <sz val="10"/>
      <name val="Noto Sans CJK SC"/>
      <family val="2"/>
      <color rgb="FF526174"/>
    </font>
    <font>
      <sz val="10"/>
      <name val="Noto Sans CJK SC"/>
      <family val="2"/>
      <color rgb="FFFFFFFF"/>
      <b/>
    </font>
    <font>
      <sz val="12"/>
      <name val="Noto Sans CJK SC"/>
      <family val="2"/>
      <color rgb="FFFFFFFF"/>
      <b/>
    </font>
  </fonts>
  <fills count="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0EAF7"/>
        <bgColor indexed="64"/>
      </patternFill>
    </fill>
    <fill>
      <patternFill patternType="solid">
        <fgColor rgb="FFEEF0F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rgb="FFD7DFE8"/>
      </bottom>
      <diagonal/>
    </border>
    <border>
      <left/>
      <right/>
      <top style="medium">
        <color rgb="FF607D96"/>
      </top>
      <bottom style="hair">
        <color rgb="FFD7DFE8"/>
      </bottom>
      <diagonal/>
    </border>
  </borders>
  <cellStyleXfs count="1">
    <xf numFmtId="0" fontId="0" fillId="0" borderId="0"/>
  </cellStyleXfs>
  <cellXfs count="29">
    <xf numFmtId="0" fontId="1" fillId="2" borderId="0" xfId="0" applyAlignment="1" applyNumberFormat="1">
      <alignment horizontal="left" vertical="center" wrapText="1"/>
    </xf>
    <xf numFmtId="0" fontId="2" fillId="0" borderId="0" xfId="0" applyAlignment="1" applyNumberFormat="1">
      <alignment horizontal="left" vertical="center" wrapText="1"/>
    </xf>
    <xf numFmtId="0" fontId="3" fillId="2" borderId="0" xfId="0" applyAlignment="1" applyNumberFormat="1">
      <alignment horizontal="center" vertical="center" wrapText="1"/>
    </xf>
    <xf numFmtId="0" fontId="3" fillId="2" borderId="1" xfId="0" applyAlignment="1" applyNumberFormat="1">
      <alignment horizontal="center" vertical="center" wrapText="1"/>
    </xf>
    <xf numFmtId="0" fontId="2" fillId="3" borderId="0" xfId="0" applyAlignment="1" applyNumberFormat="1">
      <alignment horizontal="left" vertical="center" wrapText="1"/>
    </xf>
    <xf numFmtId="0" fontId="0" fillId="6" borderId="2" xfId="0" applyAlignment="1" applyNumberFormat="1">
      <alignment horizontal="left" vertical="center" wrapText="1"/>
    </xf>
    <xf numFmtId="0" fontId="0" fillId="6" borderId="2" xfId="0" applyAlignment="1" applyNumberFormat="1">
      <alignment horizontal="right" vertical="center" wrapText="1"/>
    </xf>
    <xf numFmtId="167" fontId="0" fillId="6" borderId="2" xfId="0" applyAlignment="1" applyNumberFormat="1">
      <alignment horizontal="right" vertical="center" wrapText="1"/>
    </xf>
    <xf numFmtId="0" fontId="0" fillId="6" borderId="1" xfId="0" applyAlignment="1" applyNumberFormat="1">
      <alignment horizontal="left" vertical="center" wrapText="1"/>
    </xf>
    <xf numFmtId="0" fontId="0" fillId="6" borderId="1" xfId="0" applyAlignment="1" applyNumberFormat="1">
      <alignment horizontal="right" vertical="center" wrapText="1"/>
    </xf>
    <xf numFmtId="167" fontId="0" fillId="6" borderId="1" xfId="0" applyAlignment="1" applyNumberFormat="1">
      <alignment horizontal="right" vertical="center" wrapText="1"/>
    </xf>
    <xf numFmtId="0" fontId="0" fillId="3" borderId="1" xfId="0" applyAlignment="1" applyNumberFormat="1">
      <alignment horizontal="left" vertical="center" wrapText="1"/>
    </xf>
    <xf numFmtId="0" fontId="0" fillId="3" borderId="1" xfId="0" applyAlignment="1" applyNumberFormat="1">
      <alignment horizontal="right" vertical="center" wrapText="1"/>
    </xf>
    <xf numFmtId="164" fontId="0" fillId="3" borderId="1" xfId="0" applyAlignment="1" applyNumberFormat="1">
      <alignment horizontal="right" vertical="center" wrapText="1"/>
    </xf>
    <xf numFmtId="165" fontId="0" fillId="3" borderId="1" xfId="0" applyAlignment="1" applyNumberFormat="1">
      <alignment horizontal="right" vertical="center" wrapText="1"/>
    </xf>
    <xf numFmtId="166" fontId="0" fillId="3" borderId="1" xfId="0" applyAlignment="1" applyNumberFormat="1">
      <alignment horizontal="right" vertical="center" wrapText="1"/>
    </xf>
    <xf numFmtId="0" fontId="0" fillId="7" borderId="1" xfId="0" applyAlignment="1" applyNumberFormat="1">
      <alignment horizontal="left" vertical="center" wrapText="1"/>
    </xf>
    <xf numFmtId="0" fontId="0" fillId="7" borderId="1" xfId="0" applyAlignment="1" applyNumberFormat="1">
      <alignment horizontal="right" vertical="center" wrapText="1"/>
    </xf>
    <xf numFmtId="164" fontId="0" fillId="7" borderId="1" xfId="0" applyAlignment="1" applyNumberFormat="1">
      <alignment horizontal="right" vertical="center" wrapText="1"/>
    </xf>
    <xf numFmtId="165" fontId="0" fillId="7" borderId="1" xfId="0" applyAlignment="1" applyNumberFormat="1">
      <alignment horizontal="right" vertical="center" wrapText="1"/>
    </xf>
    <xf numFmtId="166" fontId="0" fillId="7" borderId="1" xfId="0" applyAlignment="1" applyNumberFormat="1">
      <alignment horizontal="right" vertical="center" wrapText="1"/>
    </xf>
    <xf numFmtId="0" fontId="0" fillId="5" borderId="1" xfId="0" applyAlignment="1" applyNumberFormat="1">
      <alignment horizontal="left" vertical="center" wrapText="1"/>
    </xf>
    <xf numFmtId="0" fontId="0" fillId="5" borderId="1" xfId="0" applyAlignment="1" applyNumberFormat="1">
      <alignment horizontal="right" vertical="center" wrapText="1"/>
    </xf>
    <xf numFmtId="164" fontId="0" fillId="5" borderId="1" xfId="0" applyAlignment="1" applyNumberFormat="1">
      <alignment horizontal="right" vertical="center" wrapText="1"/>
    </xf>
    <xf numFmtId="165" fontId="0" fillId="5" borderId="1" xfId="0" applyAlignment="1" applyNumberFormat="1">
      <alignment horizontal="right" vertical="center" wrapText="1"/>
    </xf>
    <xf numFmtId="166" fontId="0" fillId="5" borderId="1" xfId="0" applyAlignment="1" applyNumberFormat="1">
      <alignment horizontal="right" vertical="center" wrapText="1"/>
    </xf>
    <xf numFmtId="0" fontId="2" fillId="3" borderId="1" xfId="0" applyAlignment="1" applyNumberFormat="1">
      <alignment horizontal="left" vertical="center" wrapText="1"/>
    </xf>
    <xf numFmtId="0" fontId="0" fillId="0" borderId="1" xfId="0" applyAlignment="1" applyNumberFormat="1">
      <alignment horizontal="left" vertical="center" wrapText="1"/>
    </xf>
    <xf numFmtId="0" fontId="4" fillId="2" borderId="0" xfId="0" applyAlignment="1" applyNumberForma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ables/table1.xml><?xml version="1.0" encoding="utf-8"?>
<table xmlns="http://schemas.openxmlformats.org/spreadsheetml/2006/main" id="1" name="GRIDResults" displayName="GRIDResults" ref="A8:AG47" totalsRowShown="0">
  <autoFilter ref="A8:AG47"/>
  <tableColumns count="33">
    <tableColumn id="1" name="比较记录ID"/>
    <tableColumn id="2" name="实验结果ID"/>
    <tableColumn id="3" name="数据集"/>
    <tableColumn id="4" name="实验类别"/>
    <tableColumn id="5" name="实验路线"/>
    <tableColumn id="6" name="条件"/>
    <tableColumn id="7" name="测试目标数"/>
    <tableColumn id="8" name="对照记录ID"/>
    <tableColumn id="9" name="比较基准"/>
    <tableColumn id="10" name="可比性等级"/>
    <tableColumn id="11" name="Recall@5"/>
    <tableColumn id="12" name="R5 Δabs"/>
    <tableColumn id="13" name="R5 Δrel"/>
    <tableColumn id="14" name="NDCG@5"/>
    <tableColumn id="15" name="N5 Δabs"/>
    <tableColumn id="16" name="N5 Δrel"/>
    <tableColumn id="17" name="Recall@10"/>
    <tableColumn id="18" name="R10 Δabs"/>
    <tableColumn id="19" name="R10 Δrel"/>
    <tableColumn id="20" name="NDCG@10"/>
    <tableColumn id="21" name="N10 Δabs"/>
    <tableColumn id="22" name="N10 Δrel"/>
    <tableColumn id="23" name="文本embedding模型"/>
    <tableColumn id="24" name="SID量化方法"/>
    <tableColumn id="25" name="SID表结构"/>
    <tableColumn id="26" name="模型 / checkpoint"/>
    <tableColumn id="27" name="非法候选数"/>
    <tableColumn id="28" name="重复候选数"/>
    <tableColumn id="29" name="job ID"/>
    <tableColumn id="30" name="实际执行commit"/>
    <tableColumn id="31" name="原始结果链接"/>
    <tableColumn id="32" name="SID / 配置证据"/>
    <tableColumn id="33" name="备注 / 限制"/>
  </tableColumns>
  <tableStyleInfo name="TableStyleMedium2" showFirstColumn="0" showLastColumn="0" showRowStripes="0" showColumnStripes="0"/>
</table>
</file>

<file path=xl/worksheets/_rels/sheet1.xml.rels><?xml version='1.0' encoding='utf-8'?>
<Relationships xmlns="http://schemas.openxmlformats.org/package/2006/relationships"><Relationship Id="rId2" Type="http://schemas.openxmlformats.org/officeDocument/2006/relationships/hyperlink" Target="https://arxiv.org/html/2507.22224v1#S4" TargetMode="External" /><Relationship Id="rId3" Type="http://schemas.openxmlformats.org/officeDocument/2006/relationships/hyperlink" Target="https://arxiv.org/html/2507.22224v1#S4" TargetMode="External" /><Relationship Id="rId4" Type="http://schemas.openxmlformats.org/officeDocument/2006/relationships/hyperlink" Target="https://arxiv.org/html/2507.22224v1#S4" TargetMode="External" /><Relationship Id="rId5" Type="http://schemas.openxmlformats.org/officeDocument/2006/relationships/hyperlink" Target="https://arxiv.org/html/2507.22224v1#S4" TargetMode="External" /><Relationship Id="rId6" Type="http://schemas.openxmlformats.org/officeDocument/2006/relationships/hyperlink" Target="https://arxiv.org/html/2507.22224v1#S4" TargetMode="External" /><Relationship Id="rId7" Type="http://schemas.openxmlformats.org/officeDocument/2006/relationships/hyperlink" Target="https://arxiv.org/html/2507.22224v1#S4" TargetMode="External" /><Relationship Id="rId8" Type="http://schemas.openxmlformats.org/officeDocument/2006/relationships/hyperlink" Target="https://github.com/woobowen/recommend/blob/9ab3d0ea5d32db00e278f74c599a1943885453db/manifests/grid-formal-20261015/runs/gf-20261015-a-normal-v1/output/RESULT.json" TargetMode="External" /><Relationship Id="rId9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0" Type="http://schemas.openxmlformats.org/officeDocument/2006/relationships/hyperlink" Target="https://github.com/woobowen/recommend/commit/2cf4c793c2e0b2e9dc7e7a9269f5e54d5c667896" TargetMode="External" /><Relationship Id="rId11" Type="http://schemas.openxmlformats.org/officeDocument/2006/relationships/hyperlink" Target="https://github.com/woobowen/recommend/blob/9ab3d0ea5d32db00e278f74c599a1943885453db/manifests/grid-formal-20261015/runs/gf-20261015-a-shuffle3-v1/output/RESULT.json" TargetMode="External" /><Relationship Id="rId12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3" Type="http://schemas.openxmlformats.org/officeDocument/2006/relationships/hyperlink" Target="https://github.com/woobowen/recommend/commit/2cf4c793c2e0b2e9dc7e7a9269f5e54d5c667896" TargetMode="External" /><Relationship Id="rId14" Type="http://schemas.openxmlformats.org/officeDocument/2006/relationships/hyperlink" Target="https://github.com/woobowen/recommend/blob/9ab3d0ea5d32db00e278f74c599a1943885453db/manifests/grid-formal-20261015/runs/gf-20261015-a-shuffle4-v1/output/RESULT.json" TargetMode="External" /><Relationship Id="rId15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6" Type="http://schemas.openxmlformats.org/officeDocument/2006/relationships/hyperlink" Target="https://github.com/woobowen/recommend/commit/2cf4c793c2e0b2e9dc7e7a9269f5e54d5c667896" TargetMode="External" /><Relationship Id="rId17" Type="http://schemas.openxmlformats.org/officeDocument/2006/relationships/hyperlink" Target="https://github.com/woobowen/recommend/blob/9ab3d0ea5d32db00e278f74c599a1943885453db/manifests/grid-formal-20261015/runs/gf-20261015-b-normal-v1/output/RESULT.json" TargetMode="External" /><Relationship Id="rId18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9" Type="http://schemas.openxmlformats.org/officeDocument/2006/relationships/hyperlink" Target="https://github.com/woobowen/recommend/commit/2cf4c793c2e0b2e9dc7e7a9269f5e54d5c667896" TargetMode="External" /><Relationship Id="rId20" Type="http://schemas.openxmlformats.org/officeDocument/2006/relationships/hyperlink" Target="https://github.com/woobowen/recommend/blob/9ab3d0ea5d32db00e278f74c599a1943885453db/manifests/grid-formal-20261015/runs/gf-20261015-b-shuffle3-v1/output/RESULT.json" TargetMode="External" /><Relationship Id="rId21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22" Type="http://schemas.openxmlformats.org/officeDocument/2006/relationships/hyperlink" Target="https://github.com/woobowen/recommend/commit/2cf4c793c2e0b2e9dc7e7a9269f5e54d5c667896" TargetMode="External" /><Relationship Id="rId23" Type="http://schemas.openxmlformats.org/officeDocument/2006/relationships/hyperlink" Target="https://github.com/woobowen/recommend/blob/9ab3d0ea5d32db00e278f74c599a1943885453db/manifests/grid-formal-20261015/runs/gf-20261015-b-shuffle4-v1/output/RESULT.json" TargetMode="External" /><Relationship Id="rId24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25" Type="http://schemas.openxmlformats.org/officeDocument/2006/relationships/hyperlink" Target="https://github.com/woobowen/recommend/commit/2cf4c793c2e0b2e9dc7e7a9269f5e54d5c667896" TargetMode="External" /><Relationship Id="rId26" Type="http://schemas.openxmlformats.org/officeDocument/2006/relationships/hyperlink" Target="https://github.com/woobowen/recommend/blob/d5c0db4203d6226a7aa5a73583da65f2b00d125d/manifests/beauty-extensions/runs/beauty-mlp-formal-v1/test/metrics.json" TargetMode="External" /><Relationship Id="rId27" Type="http://schemas.openxmlformats.org/officeDocument/2006/relationships/hyperlink" Target="https://github.com/woobowen/recommend/blob/d5c0db4203d6226a7aa5a73583da65f2b00d125d/manifests/beauty-extensions/runs/beauty-mlp-formal-v1/test/metrics.json" TargetMode="External" /><Relationship Id="rId28" Type="http://schemas.openxmlformats.org/officeDocument/2006/relationships/hyperlink" Target="https://github.com/woobowen/recommend/commit/89b6d961c81333b0a44c4eb17527ced11897849f" TargetMode="External" /><Relationship Id="rId29" Type="http://schemas.openxmlformats.org/officeDocument/2006/relationships/hyperlink" Target="https://github.com/woobowen/recommend/blob/d5c0db4203d6226a7aa5a73583da65f2b00d125d/manifests/beauty-extensions/runs/beauty-mlp-formal-v1/test/metrics.json" TargetMode="External" /><Relationship Id="rId30" Type="http://schemas.openxmlformats.org/officeDocument/2006/relationships/hyperlink" Target="https://github.com/woobowen/recommend/blob/d5c0db4203d6226a7aa5a73583da65f2b00d125d/manifests/beauty-extensions/runs/beauty-mlp-formal-v1/test/metrics.json" TargetMode="External" /><Relationship Id="rId31" Type="http://schemas.openxmlformats.org/officeDocument/2006/relationships/hyperlink" Target="https://github.com/woobowen/recommend/commit/89b6d961c81333b0a44c4eb17527ced11897849f" TargetMode="External" /><Relationship Id="rId32" Type="http://schemas.openxmlformats.org/officeDocument/2006/relationships/hyperlink" Target="https://arxiv.org/html/2507.22224v1#S4" TargetMode="External" /><Relationship Id="rId33" Type="http://schemas.openxmlformats.org/officeDocument/2006/relationships/hyperlink" Target="https://arxiv.org/html/2507.22224v1#S4" TargetMode="External" /><Relationship Id="rId34" Type="http://schemas.openxmlformats.org/officeDocument/2006/relationships/hyperlink" Target="https://arxiv.org/html/2507.22224v1#S4" TargetMode="External" /><Relationship Id="rId35" Type="http://schemas.openxmlformats.org/officeDocument/2006/relationships/hyperlink" Target="https://arxiv.org/html/2507.22224v1#S4" TargetMode="External" /><Relationship Id="rId36" Type="http://schemas.openxmlformats.org/officeDocument/2006/relationships/hyperlink" Target="https://arxiv.org/html/2507.22224v1#S4" TargetMode="External" /><Relationship Id="rId37" Type="http://schemas.openxmlformats.org/officeDocument/2006/relationships/hyperlink" Target="https://arxiv.org/html/2507.22224v1#S4" TargetMode="External" /><Relationship Id="rId38" Type="http://schemas.openxmlformats.org/officeDocument/2006/relationships/hyperlink" Target="https://github.com/woobowen/recommend/blob/9ab3d0ea5d32db00e278f74c599a1943885453db/manifests/grid-shuffle-20261017/runs/gs-20261017-toys-b-normal-v1/output/RESULT.json" TargetMode="External" /><Relationship Id="rId39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40" Type="http://schemas.openxmlformats.org/officeDocument/2006/relationships/hyperlink" Target="https://github.com/woobowen/recommend/commit/c8acac42d5e13ca80af75faac5d1f7bc33fb589f" TargetMode="External" /><Relationship Id="rId41" Type="http://schemas.openxmlformats.org/officeDocument/2006/relationships/hyperlink" Target="https://github.com/woobowen/recommend/blob/9ab3d0ea5d32db00e278f74c599a1943885453db/manifests/grid-shuffle-20261017/runs/gs-20261017-toys-b-shuffle3-v1/output/RESULT.json" TargetMode="External" /><Relationship Id="rId42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43" Type="http://schemas.openxmlformats.org/officeDocument/2006/relationships/hyperlink" Target="https://github.com/woobowen/recommend/commit/c8acac42d5e13ca80af75faac5d1f7bc33fb589f" TargetMode="External" /><Relationship Id="rId44" Type="http://schemas.openxmlformats.org/officeDocument/2006/relationships/hyperlink" Target="https://github.com/woobowen/recommend/blob/9ab3d0ea5d32db00e278f74c599a1943885453db/manifests/grid-shuffle-20261017/runs/gs-20261017-toys-b-shuffle4-v1/output/RESULT.json" TargetMode="External" /><Relationship Id="rId45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46" Type="http://schemas.openxmlformats.org/officeDocument/2006/relationships/hyperlink" Target="https://github.com/woobowen/recommend/commit/c8acac42d5e13ca80af75faac5d1f7bc33fb589f" TargetMode="External" /><Relationship Id="rId47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48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49" Type="http://schemas.openxmlformats.org/officeDocument/2006/relationships/hyperlink" Target="https://github.com/woobowen/recommend/commit/b44399926c98369191c2ff5c2425377c8c07d3c8" TargetMode="External" /><Relationship Id="rId50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51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52" Type="http://schemas.openxmlformats.org/officeDocument/2006/relationships/hyperlink" Target="https://github.com/woobowen/recommend/commit/b44399926c98369191c2ff5c2425377c8c07d3c8" TargetMode="External" /><Relationship Id="rId53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54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55" Type="http://schemas.openxmlformats.org/officeDocument/2006/relationships/hyperlink" Target="https://github.com/woobowen/recommend/commit/b44399926c98369191c2ff5c2425377c8c07d3c8" TargetMode="External" /><Relationship Id="rId56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57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58" Type="http://schemas.openxmlformats.org/officeDocument/2006/relationships/hyperlink" Target="https://github.com/woobowen/recommend/commit/b44399926c98369191c2ff5c2425377c8c07d3c8" TargetMode="External" /><Relationship Id="rId59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60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61" Type="http://schemas.openxmlformats.org/officeDocument/2006/relationships/hyperlink" Target="https://github.com/woobowen/recommend/commit/b44399926c98369191c2ff5c2425377c8c07d3c8" TargetMode="External" /><Relationship Id="rId62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63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64" Type="http://schemas.openxmlformats.org/officeDocument/2006/relationships/hyperlink" Target="https://github.com/woobowen/recommend/commit/b44399926c98369191c2ff5c2425377c8c07d3c8" TargetMode="External" /><Relationship Id="rId65" Type="http://schemas.openxmlformats.org/officeDocument/2006/relationships/hyperlink" Target="https://github.com/woobowen/recommend/blob/d5c0db4203d6226a7aa5a73583da65f2b00d125d/manifests/grid-formal-20261015/runs/gf-20261015-toys-mlp-formal-v1/output/RESULT.json" TargetMode="External" /><Relationship Id="rId66" Type="http://schemas.openxmlformats.org/officeDocument/2006/relationships/hyperlink" Target="https://github.com/woobowen/recommend/blob/d5c0db4203d6226a7aa5a73583da65f2b00d125d/manifests/grid-formal-20261015/runs/gf-20261015-toys-mlp-formal-v1/output/RESULT.json" TargetMode="External" /><Relationship Id="rId67" Type="http://schemas.openxmlformats.org/officeDocument/2006/relationships/hyperlink" Target="https://github.com/woobowen/recommend/commit/4495c38459971aee36b00d881eb50f50fafa3159" TargetMode="External" /><Relationship Id="rId68" Type="http://schemas.openxmlformats.org/officeDocument/2006/relationships/hyperlink" Target="https://github.com/woobowen/recommend/blob/d5c0db4203d6226a7aa5a73583da65f2b00d125d/manifests/grid-formal-20261015/runs/gf-20261015-toys-mlp-formal-v1/output/RESULT.json" TargetMode="External" /><Relationship Id="rId69" Type="http://schemas.openxmlformats.org/officeDocument/2006/relationships/hyperlink" Target="https://github.com/woobowen/recommend/blob/d5c0db4203d6226a7aa5a73583da65f2b00d125d/manifests/grid-formal-20261015/runs/gf-20261015-toys-mlp-formal-v1/output/RESULT.json" TargetMode="External" /><Relationship Id="rId70" Type="http://schemas.openxmlformats.org/officeDocument/2006/relationships/hyperlink" Target="https://github.com/woobowen/recommend/commit/4495c38459971aee36b00d881eb50f50fafa3159" TargetMode="External" /><Relationship Id="rId71" Type="http://schemas.openxmlformats.org/officeDocument/2006/relationships/hyperlink" Target="https://github.com/woobowen/recommend/blob/d5c0db4203d6226a7aa5a73583da65f2b00d125d/manifests/grid-formal-20261015/runs/gf-20261015-toys-mlp-formal-v1/output/RESULT.json" TargetMode="External" /><Relationship Id="rId72" Type="http://schemas.openxmlformats.org/officeDocument/2006/relationships/hyperlink" Target="https://github.com/woobowen/recommend/blob/d5c0db4203d6226a7aa5a73583da65f2b00d125d/manifests/grid-formal-20261015/runs/gf-20261015-toys-mlp-formal-v1/output/RESULT.json" TargetMode="External" /><Relationship Id="rId73" Type="http://schemas.openxmlformats.org/officeDocument/2006/relationships/hyperlink" Target="https://github.com/woobowen/recommend/commit/4495c38459971aee36b00d881eb50f50fafa3159" TargetMode="External" /><Relationship Id="rId74" Type="http://schemas.openxmlformats.org/officeDocument/2006/relationships/hyperlink" Target="https://arxiv.org/html/2507.22224v1#S4" TargetMode="External" /><Relationship Id="rId75" Type="http://schemas.openxmlformats.org/officeDocument/2006/relationships/hyperlink" Target="https://arxiv.org/html/2507.22224v1#S4" TargetMode="External" /><Relationship Id="rId76" Type="http://schemas.openxmlformats.org/officeDocument/2006/relationships/hyperlink" Target="https://arxiv.org/html/2507.22224v1#S4" TargetMode="External" /><Relationship Id="rId77" Type="http://schemas.openxmlformats.org/officeDocument/2006/relationships/hyperlink" Target="https://arxiv.org/html/2507.22224v1#S4" TargetMode="External" /><Relationship Id="rId78" Type="http://schemas.openxmlformats.org/officeDocument/2006/relationships/hyperlink" Target="https://arxiv.org/html/2507.22224v1#S4" TargetMode="External" /><Relationship Id="rId79" Type="http://schemas.openxmlformats.org/officeDocument/2006/relationships/hyperlink" Target="https://arxiv.org/html/2507.22224v1#S4" TargetMode="External" /><Relationship Id="rId80" Type="http://schemas.openxmlformats.org/officeDocument/2006/relationships/hyperlink" Target="https://github.com/woobowen/recommend/blob/9ab3d0ea5d32db00e278f74c599a1943885453db/manifests/grid-shuffle-20261017/runs/gs-20261017-sports-b-normal-v1/output/RESULT.json" TargetMode="External" /><Relationship Id="rId81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82" Type="http://schemas.openxmlformats.org/officeDocument/2006/relationships/hyperlink" Target="https://github.com/woobowen/recommend/commit/c8acac42d5e13ca80af75faac5d1f7bc33fb589f" TargetMode="External" /><Relationship Id="rId83" Type="http://schemas.openxmlformats.org/officeDocument/2006/relationships/hyperlink" Target="https://github.com/woobowen/recommend/blob/9ab3d0ea5d32db00e278f74c599a1943885453db/manifests/grid-shuffle-20261017/runs/gs-20261017-sports-b-shuffle3-v1/output/RESULT.json" TargetMode="External" /><Relationship Id="rId84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85" Type="http://schemas.openxmlformats.org/officeDocument/2006/relationships/hyperlink" Target="https://github.com/woobowen/recommend/commit/c8acac42d5e13ca80af75faac5d1f7bc33fb589f" TargetMode="External" /><Relationship Id="rId86" Type="http://schemas.openxmlformats.org/officeDocument/2006/relationships/hyperlink" Target="https://github.com/woobowen/recommend/blob/9ab3d0ea5d32db00e278f74c599a1943885453db/manifests/grid-shuffle-20261017/runs/gs-20261017-sports-b-shuffle4-v1/output/RESULT.json" TargetMode="External" /><Relationship Id="rId87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88" Type="http://schemas.openxmlformats.org/officeDocument/2006/relationships/hyperlink" Target="https://github.com/woobowen/recommend/commit/c8acac42d5e13ca80af75faac5d1f7bc33fb589f" TargetMode="External" /><Relationship Id="rId89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90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91" Type="http://schemas.openxmlformats.org/officeDocument/2006/relationships/hyperlink" Target="https://github.com/woobowen/recommend/commit/b44399926c98369191c2ff5c2425377c8c07d3c8" TargetMode="External" /><Relationship Id="rId92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93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94" Type="http://schemas.openxmlformats.org/officeDocument/2006/relationships/hyperlink" Target="https://github.com/woobowen/recommend/commit/b44399926c98369191c2ff5c2425377c8c07d3c8" TargetMode="External" /><Relationship Id="rId95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96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97" Type="http://schemas.openxmlformats.org/officeDocument/2006/relationships/hyperlink" Target="https://github.com/woobowen/recommend/commit/b44399926c98369191c2ff5c2425377c8c07d3c8" TargetMode="External" /><Relationship Id="rId98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99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00" Type="http://schemas.openxmlformats.org/officeDocument/2006/relationships/hyperlink" Target="https://github.com/woobowen/recommend/commit/85b77f5e2a5b497fdc1f620649ba488fc783a245" TargetMode="External" /><Relationship Id="rId101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02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03" Type="http://schemas.openxmlformats.org/officeDocument/2006/relationships/hyperlink" Target="https://github.com/woobowen/recommend/commit/85b77f5e2a5b497fdc1f620649ba488fc783a245" TargetMode="External" /><Relationship Id="rId104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05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06" Type="http://schemas.openxmlformats.org/officeDocument/2006/relationships/hyperlink" Target="https://github.com/woobowen/recommend/commit/85b77f5e2a5b497fdc1f620649ba488fc783a245" TargetMode="External" /><Relationship Id="rId107" Type="http://schemas.openxmlformats.org/officeDocument/2006/relationships/hyperlink" Target="https://github.com/woobowen/recommend/blob/d5c0db4203d6226a7aa5a73583da65f2b00d125d/manifests/grid-formal-20261015/runs/gf-20261015-sports-mlp-formal-v1/output/RESULT.json" TargetMode="External" /><Relationship Id="rId108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09" Type="http://schemas.openxmlformats.org/officeDocument/2006/relationships/hyperlink" Target="https://github.com/woobowen/recommend/commit/4495c38459971aee36b00d881eb50f50fafa3159" TargetMode="External" /><Relationship Id="rId110" Type="http://schemas.openxmlformats.org/officeDocument/2006/relationships/hyperlink" Target="https://github.com/woobowen/recommend/blob/2cf4c793c2e0b2e9dc7e7a9269f5e54d5c667896/references/wmh-original/GRID/src/models/modules/semantic_id/tiger_generation_model_shuffle.py" TargetMode="External" /><Relationship Id="rId111" Type="http://schemas.openxmlformats.org/officeDocument/2006/relationships/hyperlink" Target="https://github.com/woobowen/recommend/blob/2cf4c793c2e0b2e9dc7e7a9269f5e54d5c667896/experiments/beauty_extensions/author/models.py" TargetMode="External" /><Relationship Id="rId112" Type="http://schemas.openxmlformats.org/officeDocument/2006/relationships/hyperlink" Target="https://github.com/woobowen/recommend/blob/c8acac42d5e13ca80af75faac5d1f7bc33fb589f/experiments/beauty_extensions/baseline.py" TargetMode="External" /><Relationship Id="rId113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14" Type="http://schemas.openxmlformats.org/officeDocument/2006/relationships/hyperlink" Target="https://github.com/woobowen/recommend/blob/2cf4c793c2e0b2e9dc7e7a9269f5e54d5c667896/experiments/beauty_extensions/author/models.py" TargetMode="External" /><Relationship Id="rId115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16" Type="http://schemas.openxmlformats.org/officeDocument/2006/relationships/hyperlink" Target="https://github.com/woobowen/recommend/blob/2cf4c793c2e0b2e9dc7e7a9269f5e54d5c667896/experiments/beauty_extensions/baseline.py" TargetMode="External" /><Relationship Id="rId117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18" Type="http://schemas.openxmlformats.org/officeDocument/2006/relationships/hyperlink" Target="https://github.com/woobowen/recommend/blob/c8acac42d5e13ca80af75faac5d1f7bc33fb589f/experiments/beauty_extensions/baseline.py" TargetMode="External" /><Relationship Id="rId119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20" Type="http://schemas.openxmlformats.org/officeDocument/2006/relationships/hyperlink" Target="https://github.com/woobowen/recommend/blob/b44399926c98369191c2ff5c2425377c8c07d3c8/experiments/beauty_extensions/author/models.py" TargetMode="External" /><Relationship Id="rId121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22" Type="http://schemas.openxmlformats.org/officeDocument/2006/relationships/hyperlink" Target="https://github.com/woobowen/recommend/blob/b44399926c98369191c2ff5c2425377c8c07d3c8/experiments/beauty_extensions/author/models.py" TargetMode="External" /><Relationship Id="rId123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24" Type="http://schemas.openxmlformats.org/officeDocument/2006/relationships/hyperlink" Target="https://github.com/woobowen/recommend/blob/c8acac42d5e13ca80af75faac5d1f7bc33fb589f/experiments/beauty_extensions/baseline.py" TargetMode="External" /><Relationship Id="rId125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26" Type="http://schemas.openxmlformats.org/officeDocument/2006/relationships/hyperlink" Target="https://github.com/woobowen/recommend/blob/d5c0db4203d6226a7aa5a73583da65f2b00d125d/manifests/grid-a2-fd-recovery-20261018/launch-v2/completed-result-reviews/sports_a1/audit_result.json" TargetMode="External" /><Relationship Id="rId127" Type="http://schemas.openxmlformats.org/officeDocument/2006/relationships/hyperlink" Target="https://github.com/woobowen/recommend/blob/d5c0db4203d6226a7aa5a73583da65f2b00d125d/manifests/grid-a-launch-20261017/compiled/specs/sportsa1-train.json" TargetMode="External" /><Relationship Id="rId128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29" Type="http://schemas.openxmlformats.org/officeDocument/2006/relationships/hyperlink" Target="https://github.com/woobowen/recommend/blob/85b77f5e2a5b497fdc1f620649ba488fc783a245/experiments/beauty_extensions/author/models.py" TargetMode="External" /><Relationship Id="rId130" Type="http://schemas.openxmlformats.org/officeDocument/2006/relationships/hyperlink" Target="https://github.com/woobowen/recommend/blob/d5c0db4203d6226a7aa5a73583da65f2b00d125d/manifests/grid-a2-fd-recovery-20261018/final-results/FINAL_RESULTS.md" TargetMode="External" /><Relationship Id="rId131" Type="http://schemas.openxmlformats.org/officeDocument/2006/relationships/hyperlink" Target="https://github.com/woobowen/recommend/blob/4495c38459971aee36b00d881eb50f50fafa3159/references/wmh-original/GRID/src/models/modules/semantic_id/tiger_generation_model_mlp.py" TargetMode="External" /><Relationship Id="rId132" Type="http://schemas.openxmlformats.org/officeDocument/2006/relationships/hyperlink" Target="https://github.com/woobowen/recommend/blob/4495c38459971aee36b00d881eb50f50fafa3159/experiments/beauty_extensions/author/models.py" TargetMode="External" /><Relationship Id="rId133" Type="http://schemas.openxmlformats.org/officeDocument/2006/relationships/hyperlink" Target="https://github.com/woobowen/recommend/blob/d5c0db4203d6226a7aa5a73583da65f2b00d125d/manifests/grid-formal-20261015/FINAL_RECEIPT.md" TargetMode="External" /><Relationship Id="rId134" Type="http://schemas.openxmlformats.org/officeDocument/2006/relationships/hyperlink" Target="https://github.com/woobowen/recommend/blob/d5c0db4203d6226a7aa5a73583da65f2b00d125d/manifests/beauty-extensions/runs/beauty-mlp-formal-v1/test/metrics.json" TargetMode="External" /><Relationship Id="rId135" Type="http://schemas.openxmlformats.org/officeDocument/2006/relationships/hyperlink" Target="https://github.com/woobowen/recommend/blob/d5c0db4203d6226a7aa5a73583da65f2b00d125d/manifests/grid-formal-20261015/FINAL_RECEIPT.md" TargetMode="External" /><Relationship Id="rId136" Type="http://schemas.openxmlformats.org/officeDocument/2006/relationships/hyperlink" Target="https://github.com/woobowen/recommend/blob/d5c0db4203d6226a7aa5a73583da65f2b00d125d/manifests/grid-formal-20261015/runs/gf-20261015-toys-mlp-formal-v1/output/RESULT.json" TargetMode="External" /><Relationship Id="rId137" Type="http://schemas.openxmlformats.org/officeDocument/2006/relationships/hyperlink" Target="https://github.com/woobowen/recommend/blob/d5c0db4203d6226a7aa5a73583da65f2b00d125d/manifests/grid-formal-20261015/FINAL_RECEIPT.md" TargetMode="External" /><Relationship Id="rId138" Type="http://schemas.openxmlformats.org/officeDocument/2006/relationships/hyperlink" Target="https://github.com/woobowen/recommend/blob/d5c0db4203d6226a7aa5a73583da65f2b00d125d/manifests/grid-formal-20261015/runs/gf-20261015-sports-mlp-formal-v1/output/RESULT.json" TargetMode="External" /><Relationship Id="rId139" Type="http://schemas.openxmlformats.org/officeDocument/2006/relationships/hyperlink" Target="https://arxiv.org/html/2507.22224v1#S4" TargetMode="External" /><Relationship Id="rId140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141" Type="http://schemas.openxmlformats.org/officeDocument/2006/relationships/hyperlink" Target="https://github.com/woobowen/recommend/blob/d5c0db4203d6226a7aa5a73583da65f2b00d125d/manifests/grid-a2-fd-recovery-20261018/final-results/cross-domain/cross-domain-original-metrics-with-a2.csv" TargetMode="External" /><Relationship Id="rId142" Type="http://schemas.openxmlformats.org/officeDocument/2006/relationships/hyperlink" Target="https://github.com/woobowen/recommend/blob/d5c0db4203d6226a7aa5a73583da65f2b00d125d/manifests/grid-a2-fd-recovery-20261018/final-results/cross-domain/cross-domain-evidence-index-with-a2.json" TargetMode="External" /><Relationship Id="rIdTable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AG150"/>
  <sheetViews>
    <sheetView showGridLines="0" zoomScale="85" workbookViewId="0">
      <pane xSplit="6" ySplit="8" topLeftCell="G9" activePane="bottomRight" state="frozen"/>
      <selection pane="bottomRight" activeCell="K9" sqref="K9"/>
    </sheetView>
  </sheetViews>
  <sheetFormatPr defaultRowHeight="24"/>
  <cols>
    <col min="1" max="1" width="18" customWidth="1"/>
    <col min="2" max="2" width="22" customWidth="1"/>
    <col min="3" max="3" width="11" customWidth="1"/>
    <col min="4" max="4" width="12" customWidth="1"/>
    <col min="5" max="5" width="17" customWidth="1"/>
    <col min="6" max="6" width="13" customWidth="1"/>
    <col min="7" max="7" width="13" customWidth="1"/>
    <col min="8" max="8" width="28" customWidth="1"/>
    <col min="9" max="9" width="24" customWidth="1"/>
    <col min="10" max="10" width="28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32" customWidth="1"/>
    <col min="24" max="24" width="24" customWidth="1"/>
    <col min="25" max="25" width="16" customWidth="1"/>
    <col min="26" max="26" width="33" customWidth="1"/>
    <col min="27" max="27" width="12" customWidth="1"/>
    <col min="28" max="28" width="12" customWidth="1"/>
    <col min="29" max="29" width="47" customWidth="1"/>
    <col min="30" max="30" width="23" customWidth="1"/>
    <col min="31" max="31" width="25" customWidth="1"/>
    <col min="32" max="32" width="27" customWidth="1"/>
    <col min="33" max="33" width="49" customWidth="1"/>
  </cols>
  <sheetData>
    <row r="1" ht="44" customHeight="1">
      <c r="A1" s="0" t="inlineStr">
        <is>
          <t xml:space="preserve">GRID / Semantic ID｜Shuffle &amp; MLP 正式实验总表</t>
        </is>
      </c>
    </row>
    <row r="2" ht="28" customHeight="1">
      <c r="A2" s="1" t="inlineStr">
        <is>
          <t xml:space="preserve">统计日期 2026-10-18（北京时间）｜固定输入 d5c0db4203d6226a7aa5a73583da65f2b00d125d｜单文件 · 单工作表 · CPU整理 · GPU 0</t>
        </is>
      </c>
    </row>
    <row r="3" ht="28" customHeight="1">
      <c r="A3" s="1" t="inlineStr">
        <is>
          <t xml:space="preserve">39条比较记录 = 9论文 + 8 Normal + 8 Shuffle3 + 8 Shuffle4 + 6 MLP参考行；36条不同结果，其中MLP仅3个模型。</t>
        </is>
      </c>
    </row>
    <row r="4" ht="28" customHeight="1">
      <c r="A4" s="1" t="inlineStr">
        <is>
          <t xml:space="preserve">Δabs = 当前−对照；Δrel = (当前−对照)/对照（底层小数、百分比显示）。原始精度入表，显示再舍入；蓝/红仅表示正/负号。</t>
        </is>
      </c>
    </row>
    <row r="5" ht="28" customHeight="1">
      <c r="A5" s="1" t="inlineStr">
        <is>
          <t xml:space="preserve">论文为5-seed均值；Normal对论文及全部MLP差值均属参考比较，非严格单因素增益。Toys历史producer不确定性完整保留。</t>
        </is>
      </c>
    </row>
    <row r="6" ht="30" customHeight="1">
      <c r="A6" s="4" t="inlineStr">
        <is>
          <t xml:space="preserve">↓ 点击跳转：方法与资产说明</t>
        </is>
      </c>
      <c r="G6" s="1" t="inlineStr">
        <is>
          <t xml:space="preserve">使用：筛选第8行；冻结前6列和前8行；点击路线查看说明；右侧保留源码、job、候选与来源。</t>
        </is>
      </c>
    </row>
    <row r="7" ht="25" customHeight="1">
      <c r="A7" s="2" t="inlineStr">
        <is>
          <t xml:space="preserve">实验身份与对照</t>
        </is>
      </c>
      <c r="K7" s="2" t="inlineStr">
        <is>
          <t xml:space="preserve">Recall@5</t>
        </is>
      </c>
      <c r="N7" s="2" t="inlineStr">
        <is>
          <t xml:space="preserve">NDCG@5</t>
        </is>
      </c>
      <c r="Q7" s="2" t="inlineStr">
        <is>
          <t xml:space="preserve">Recall@10</t>
        </is>
      </c>
      <c r="T7" s="2" t="inlineStr">
        <is>
          <t xml:space="preserve">NDCG@10</t>
        </is>
      </c>
      <c r="W7" s="2" t="inlineStr">
        <is>
          <t xml:space="preserve">模型、资产与证据</t>
        </is>
      </c>
    </row>
    <row r="8" ht="52" customHeight="1">
      <c r="A8" s="3" t="inlineStr">
        <is>
          <t xml:space="preserve">比较记录ID</t>
        </is>
      </c>
      <c r="B8" s="3" t="inlineStr">
        <is>
          <t xml:space="preserve">实验结果ID</t>
        </is>
      </c>
      <c r="C8" s="3" t="inlineStr">
        <is>
          <t xml:space="preserve">数据集</t>
        </is>
      </c>
      <c r="D8" s="3" t="inlineStr">
        <is>
          <t xml:space="preserve">实验类别</t>
        </is>
      </c>
      <c r="E8" s="3" t="inlineStr">
        <is>
          <t xml:space="preserve">实验路线</t>
        </is>
      </c>
      <c r="F8" s="3" t="inlineStr">
        <is>
          <t xml:space="preserve">条件</t>
        </is>
      </c>
      <c r="G8" s="3" t="inlineStr">
        <is>
          <t xml:space="preserve">测试目标数</t>
        </is>
      </c>
      <c r="H8" s="3" t="inlineStr">
        <is>
          <t xml:space="preserve">对照记录ID</t>
        </is>
      </c>
      <c r="I8" s="3" t="inlineStr">
        <is>
          <t xml:space="preserve">比较基准</t>
        </is>
      </c>
      <c r="J8" s="3" t="inlineStr">
        <is>
          <t xml:space="preserve">可比性等级</t>
        </is>
      </c>
      <c r="K8" s="3" t="inlineStr">
        <is>
          <t xml:space="preserve">Recall@5</t>
        </is>
      </c>
      <c r="L8" s="3" t="inlineStr">
        <is>
          <t xml:space="preserve">R5 Δabs</t>
        </is>
      </c>
      <c r="M8" s="3" t="inlineStr">
        <is>
          <t xml:space="preserve">R5 Δrel</t>
        </is>
      </c>
      <c r="N8" s="3" t="inlineStr">
        <is>
          <t xml:space="preserve">NDCG@5</t>
        </is>
      </c>
      <c r="O8" s="3" t="inlineStr">
        <is>
          <t xml:space="preserve">N5 Δabs</t>
        </is>
      </c>
      <c r="P8" s="3" t="inlineStr">
        <is>
          <t xml:space="preserve">N5 Δrel</t>
        </is>
      </c>
      <c r="Q8" s="3" t="inlineStr">
        <is>
          <t xml:space="preserve">Recall@10</t>
        </is>
      </c>
      <c r="R8" s="3" t="inlineStr">
        <is>
          <t xml:space="preserve">R10 Δabs</t>
        </is>
      </c>
      <c r="S8" s="3" t="inlineStr">
        <is>
          <t xml:space="preserve">R10 Δrel</t>
        </is>
      </c>
      <c r="T8" s="3" t="inlineStr">
        <is>
          <t xml:space="preserve">NDCG@10</t>
        </is>
      </c>
      <c r="U8" s="3" t="inlineStr">
        <is>
          <t xml:space="preserve">N10 Δabs</t>
        </is>
      </c>
      <c r="V8" s="3" t="inlineStr">
        <is>
          <t xml:space="preserve">N10 Δrel</t>
        </is>
      </c>
      <c r="W8" s="3" t="inlineStr">
        <is>
          <t xml:space="preserve">文本embedding模型</t>
        </is>
      </c>
      <c r="X8" s="3" t="inlineStr">
        <is>
          <t xml:space="preserve">SID量化方法</t>
        </is>
      </c>
      <c r="Y8" s="3" t="inlineStr">
        <is>
          <t xml:space="preserve">SID表结构</t>
        </is>
      </c>
      <c r="Z8" s="3" t="inlineStr">
        <is>
          <t xml:space="preserve">模型 / checkpoint</t>
        </is>
      </c>
      <c r="AA8" s="3" t="inlineStr">
        <is>
          <t xml:space="preserve">非法候选数</t>
        </is>
      </c>
      <c r="AB8" s="3" t="inlineStr">
        <is>
          <t xml:space="preserve">重复候选数</t>
        </is>
      </c>
      <c r="AC8" s="3" t="inlineStr">
        <is>
          <t xml:space="preserve">job ID</t>
        </is>
      </c>
      <c r="AD8" s="3" t="inlineStr">
        <is>
          <t xml:space="preserve">实际执行commit</t>
        </is>
      </c>
      <c r="AE8" s="3" t="inlineStr">
        <is>
          <t xml:space="preserve">原始结果链接</t>
        </is>
      </c>
      <c r="AF8" s="3" t="inlineStr">
        <is>
          <t xml:space="preserve">SID / 配置证据</t>
        </is>
      </c>
      <c r="AG8" s="3" t="inlineStr">
        <is>
          <t xml:space="preserve">备注 / 限制</t>
        </is>
      </c>
    </row>
    <row r="9" ht="84" customHeight="1">
      <c r="A9" s="5" t="inlineStr">
        <is>
          <t xml:space="preserve">Beauty.Paper.RK-Means</t>
        </is>
      </c>
      <c r="B9" s="5" t="inlineStr">
        <is>
          <t xml:space="preserve">Beauty.Paper.RK-Means</t>
        </is>
      </c>
      <c r="C9" s="5" t="inlineStr">
        <is>
          <t xml:space="preserve">Beauty</t>
        </is>
      </c>
      <c r="D9" s="5" t="inlineStr">
        <is>
          <t xml:space="preserve">论文</t>
        </is>
      </c>
      <c r="E9" s="5" t="inlineStr">
        <is>
          <t xml:space="preserve">RK-Means</t>
        </is>
      </c>
      <c r="F9" s="5" t="inlineStr">
        <is>
          <t xml:space="preserve">Paper</t>
        </is>
      </c>
      <c r="G9" s="6"/>
      <c r="H9" s="5"/>
      <c r="I9" s="5" t="inlineStr">
        <is>
          <t xml:space="preserve">无对照（论文参考值）</t>
        </is>
      </c>
      <c r="J9" s="5" t="inlineStr">
        <is>
          <t xml:space="preserve">论文5-seed汇总</t>
        </is>
      </c>
      <c r="K9" s="7">
        <v>0.0422</v>
      </c>
      <c r="L9" s="6"/>
      <c r="M9" s="6"/>
      <c r="N9" s="7">
        <v>0.0277</v>
      </c>
      <c r="O9" s="6"/>
      <c r="P9" s="6"/>
      <c r="Q9" s="7">
        <v>0.0639</v>
      </c>
      <c r="R9" s="6"/>
      <c r="S9" s="6"/>
      <c r="T9" s="7">
        <v>0.0347</v>
      </c>
      <c r="U9" s="6"/>
      <c r="V9" s="6"/>
      <c r="W9" s="5" t="inlineStr">
        <is>
          <t xml:space="preserve">Flan-T5-XL（默认）</t>
        </is>
      </c>
      <c r="X9" s="5" t="inlineStr">
        <is>
          <t xml:space="preserve">RK-Means</t>
        </is>
      </c>
      <c r="Y9" s="5" t="inlineStr">
        <is>
          <t xml:space="preserve">论文未对应</t>
        </is>
      </c>
      <c r="Z9" s="5" t="inlineStr">
        <is>
          <t xml:space="preserve">5 seeds均值；无单一checkpoint</t>
        </is>
      </c>
      <c r="AA9" s="6"/>
      <c r="AB9" s="6"/>
      <c r="AC9" s="5"/>
      <c r="AD9" s="5" t="inlineStr">
        <is>
          <t xml:space="preserve">arXiv:2507.22224v1</t>
        </is>
      </c>
      <c r="AE9" s="5" t="inlineStr">
        <is>
          <t xml:space="preserve">原始结果 ↗</t>
        </is>
      </c>
      <c r="AF9" s="5" t="inlineStr">
        <is>
          <t xml:space="preserve">论文固定原文 ↗</t>
        </is>
      </c>
      <c r="AG9" s="5" t="inlineStr">
        <is>
          <t xml:space="preserve">论文原列R5/R10/N5/N10已交换为R5/N5/R10/N10；未把本域目标数冒充论文独立记录。</t>
        </is>
      </c>
    </row>
    <row r="10" ht="84" customHeight="1">
      <c r="A10" s="8" t="inlineStr">
        <is>
          <t xml:space="preserve">Beauty.Paper.R-VQ</t>
        </is>
      </c>
      <c r="B10" s="8" t="inlineStr">
        <is>
          <t xml:space="preserve">Beauty.Paper.R-VQ</t>
        </is>
      </c>
      <c r="C10" s="8" t="inlineStr">
        <is>
          <t xml:space="preserve">Beauty</t>
        </is>
      </c>
      <c r="D10" s="8" t="inlineStr">
        <is>
          <t xml:space="preserve">论文</t>
        </is>
      </c>
      <c r="E10" s="8" t="inlineStr">
        <is>
          <t xml:space="preserve">R-VQ</t>
        </is>
      </c>
      <c r="F10" s="8" t="inlineStr">
        <is>
          <t xml:space="preserve">Paper</t>
        </is>
      </c>
      <c r="G10" s="9"/>
      <c r="H10" s="8"/>
      <c r="I10" s="8" t="inlineStr">
        <is>
          <t xml:space="preserve">无对照（论文参考值）</t>
        </is>
      </c>
      <c r="J10" s="8" t="inlineStr">
        <is>
          <t xml:space="preserve">论文5-seed汇总</t>
        </is>
      </c>
      <c r="K10" s="10">
        <v>0.0422</v>
      </c>
      <c r="L10" s="9"/>
      <c r="M10" s="9"/>
      <c r="N10" s="10">
        <v>0.0282</v>
      </c>
      <c r="O10" s="9"/>
      <c r="P10" s="9"/>
      <c r="Q10" s="10">
        <v>0.0638</v>
      </c>
      <c r="R10" s="9"/>
      <c r="S10" s="9"/>
      <c r="T10" s="10">
        <v>0.0351</v>
      </c>
      <c r="U10" s="9"/>
      <c r="V10" s="9"/>
      <c r="W10" s="8" t="inlineStr">
        <is>
          <t xml:space="preserve">Flan-T5-XL（默认）</t>
        </is>
      </c>
      <c r="X10" s="8" t="inlineStr">
        <is>
          <t xml:space="preserve">R-VQ</t>
        </is>
      </c>
      <c r="Y10" s="8" t="inlineStr">
        <is>
          <t xml:space="preserve">论文未对应</t>
        </is>
      </c>
      <c r="Z10" s="8" t="inlineStr">
        <is>
          <t xml:space="preserve">5 seeds均值；无单一checkpoint</t>
        </is>
      </c>
      <c r="AA10" s="9"/>
      <c r="AB10" s="9"/>
      <c r="AC10" s="8"/>
      <c r="AD10" s="8" t="inlineStr">
        <is>
          <t xml:space="preserve">arXiv:2507.22224v1</t>
        </is>
      </c>
      <c r="AE10" s="8" t="inlineStr">
        <is>
          <t xml:space="preserve">原始结果 ↗</t>
        </is>
      </c>
      <c r="AF10" s="8" t="inlineStr">
        <is>
          <t xml:space="preserve">论文固定原文 ↗</t>
        </is>
      </c>
      <c r="AG10" s="8" t="inlineStr">
        <is>
          <t xml:space="preserve">论文原列R5/R10/N5/N10已交换为R5/N5/R10/N10；未把本域目标数冒充论文独立记录。</t>
        </is>
      </c>
    </row>
    <row r="11" ht="84" customHeight="1">
      <c r="A11" s="8" t="inlineStr">
        <is>
          <t xml:space="preserve">Beauty.Paper.RQ-VAE</t>
        </is>
      </c>
      <c r="B11" s="8" t="inlineStr">
        <is>
          <t xml:space="preserve">Beauty.Paper.RQ-VAE</t>
        </is>
      </c>
      <c r="C11" s="8" t="inlineStr">
        <is>
          <t xml:space="preserve">Beauty</t>
        </is>
      </c>
      <c r="D11" s="8" t="inlineStr">
        <is>
          <t xml:space="preserve">论文</t>
        </is>
      </c>
      <c r="E11" s="8" t="inlineStr">
        <is>
          <t xml:space="preserve">RQ-VAE</t>
        </is>
      </c>
      <c r="F11" s="8" t="inlineStr">
        <is>
          <t xml:space="preserve">Paper</t>
        </is>
      </c>
      <c r="G11" s="9"/>
      <c r="H11" s="8"/>
      <c r="I11" s="8" t="inlineStr">
        <is>
          <t xml:space="preserve">无对照（论文参考值）</t>
        </is>
      </c>
      <c r="J11" s="8" t="inlineStr">
        <is>
          <t xml:space="preserve">论文5-seed汇总</t>
        </is>
      </c>
      <c r="K11" s="10">
        <v>0.0404</v>
      </c>
      <c r="L11" s="9"/>
      <c r="M11" s="9"/>
      <c r="N11" s="10">
        <v>0.0268</v>
      </c>
      <c r="O11" s="9"/>
      <c r="P11" s="9"/>
      <c r="Q11" s="10">
        <v>0.0593</v>
      </c>
      <c r="R11" s="9"/>
      <c r="S11" s="9"/>
      <c r="T11" s="10">
        <v>0.0329</v>
      </c>
      <c r="U11" s="9"/>
      <c r="V11" s="9"/>
      <c r="W11" s="8" t="inlineStr">
        <is>
          <t xml:space="preserve">Flan-T5-XL（默认）</t>
        </is>
      </c>
      <c r="X11" s="8" t="inlineStr">
        <is>
          <t xml:space="preserve">RQ-VAE</t>
        </is>
      </c>
      <c r="Y11" s="8" t="inlineStr">
        <is>
          <t xml:space="preserve">论文未对应</t>
        </is>
      </c>
      <c r="Z11" s="8" t="inlineStr">
        <is>
          <t xml:space="preserve">5 seeds均值；无单一checkpoint</t>
        </is>
      </c>
      <c r="AA11" s="9"/>
      <c r="AB11" s="9"/>
      <c r="AC11" s="8"/>
      <c r="AD11" s="8" t="inlineStr">
        <is>
          <t xml:space="preserve">arXiv:2507.22224v1</t>
        </is>
      </c>
      <c r="AE11" s="8" t="inlineStr">
        <is>
          <t xml:space="preserve">原始结果 ↗</t>
        </is>
      </c>
      <c r="AF11" s="8" t="inlineStr">
        <is>
          <t xml:space="preserve">论文固定原文 ↗</t>
        </is>
      </c>
      <c r="AG11" s="8" t="inlineStr">
        <is>
          <t xml:space="preserve">论文原列R5/R10/N5/N10已交换为R5/N5/R10/N10；未把本域目标数冒充论文独立记录。</t>
        </is>
      </c>
    </row>
    <row r="12" ht="84" customHeight="1">
      <c r="A12" s="11" t="inlineStr">
        <is>
          <t xml:space="preserve">Beauty.A.Normal</t>
        </is>
      </c>
      <c r="B12" s="11" t="inlineStr">
        <is>
          <t xml:space="preserve">Beauty.A.Normal</t>
        </is>
      </c>
      <c r="C12" s="11" t="inlineStr">
        <is>
          <t xml:space="preserve">Beauty</t>
        </is>
      </c>
      <c r="D12" s="11" t="inlineStr">
        <is>
          <t xml:space="preserve">Baseline</t>
        </is>
      </c>
      <c r="E12" s="11" t="inlineStr">
        <is>
          <t xml:space="preserve">A</t>
        </is>
      </c>
      <c r="F12" s="11" t="inlineStr">
        <is>
          <t xml:space="preserve">Normal</t>
        </is>
      </c>
      <c r="G12" s="12">
        <v>22363</v>
      </c>
      <c r="H12" s="11" t="inlineStr">
        <is>
          <t xml:space="preserve">Beauty.Paper.RK-Means</t>
        </is>
      </c>
      <c r="I12" s="11" t="inlineStr">
        <is>
          <t xml:space="preserve">本域论文 RK-Means</t>
        </is>
      </c>
      <c r="J12" s="11" t="inlineStr">
        <is>
          <t xml:space="preserve">论文参考；非严格同配置复现</t>
        </is>
      </c>
      <c r="K12" s="13">
        <v>0.04623708873987198</v>
      </c>
      <c r="L12" s="14">
        <f>IFERROR(K12-INDEX($K$9:$K$47,MATCH($H12,$A$9:$A$47,0)),"")</f>
        <v>0.00403708873987198</v>
      </c>
      <c r="M12" s="15">
        <f>IFERROR((K12-INDEX($K$9:$K$47,MATCH($H12,$A$9:$A$47,0)))/INDEX($K$9:$K$47,MATCH($H12,$A$9:$A$47,0)),"")</f>
        <v>0.095665609949572985781990521327014218009478672985782</v>
      </c>
      <c r="N12" s="13">
        <v>0.031252529472112656</v>
      </c>
      <c r="O12" s="14">
        <f>IFERROR(N12-INDEX($N$9:$N$47,MATCH($H12,$A$9:$A$47,0)),"")</f>
        <v>0.003552529472112656</v>
      </c>
      <c r="P12" s="15">
        <f>IFERROR((N12-INDEX($N$9:$N$47,MATCH($H12,$A$9:$A$47,0)))/INDEX($N$9:$N$47,MATCH($H12,$A$9:$A$47,0)),"")</f>
        <v>0.12825016144811032490974729241877256317689530685921</v>
      </c>
      <c r="Q12" s="13">
        <v>0.06644904613494873</v>
      </c>
      <c r="R12" s="14">
        <f>IFERROR(Q12-INDEX($Q$9:$Q$47,MATCH($H12,$A$9:$A$47,0)),"")</f>
        <v>0.00254904613494873</v>
      </c>
      <c r="S12" s="15">
        <f>IFERROR((Q12-INDEX($Q$9:$Q$47,MATCH($H12,$A$9:$A$47,0)))/INDEX($Q$9:$Q$47,MATCH($H12,$A$9:$A$47,0)),"")</f>
        <v>0.039891175820793896713615023474178403755868544600939</v>
      </c>
      <c r="T12" s="13">
        <v>0.03772535175085068</v>
      </c>
      <c r="U12" s="14">
        <f>IFERROR(T12-INDEX($T$9:$T$47,MATCH($H12,$A$9:$A$47,0)),"")</f>
        <v>0.00302535175085068</v>
      </c>
      <c r="V12" s="15">
        <f>IFERROR((T12-INDEX($T$9:$T$47,MATCH($H12,$A$9:$A$47,0)))/INDEX($T$9:$T$47,MATCH($H12,$A$9:$A$47,0)),"")</f>
        <v>0.087185929419327953890489913544668587896253602305476</v>
      </c>
      <c r="W12" s="11" t="inlineStr">
        <is>
          <t xml:space="preserve">T5-small / 512维</t>
        </is>
      </c>
      <c r="X12" s="11" t="inlineStr">
        <is>
          <t xml:space="preserve">R-Kmeans</t>
        </is>
      </c>
      <c r="Y12" s="11" t="inlineStr">
        <is>
          <t xml:space="preserve">双独立</t>
        </is>
      </c>
      <c r="Z12" s="11" t="inlineStr">
        <is>
          <t xml:space="preserve">step 4800 / 21b174d05154</t>
        </is>
      </c>
      <c r="AA12" s="12">
        <v>106</v>
      </c>
      <c r="AB12" s="12">
        <v>0</v>
      </c>
      <c r="AC12" s="11" t="inlineStr">
        <is>
          <t xml:space="preserve">gf-20261015-a-normal-v1</t>
        </is>
      </c>
      <c r="AD12" s="11" t="inlineStr">
        <is>
          <t xml:space="preserve">2cf4c793c2e0b2e9dc7e7a9269f5e54d5c667896</t>
        </is>
      </c>
      <c r="AE12" s="11" t="inlineStr">
        <is>
          <t xml:space="preserve">原始结果 ↗</t>
        </is>
      </c>
      <c r="AF12" s="11" t="inlineStr">
        <is>
          <t xml:space="preserve">SID 188af0341d8c
CFG 6f336505677d</t>
        </is>
      </c>
      <c r="AG12" s="11" t="inlineStr">
        <is>
          <t xml:space="preserve">学长双表派生路线；与B同时改变文本表示、SID与权重。</t>
        </is>
      </c>
    </row>
    <row r="13" ht="84" customHeight="1">
      <c r="A13" s="16" t="inlineStr">
        <is>
          <t xml:space="preserve">Beauty.A.Shuffle3</t>
        </is>
      </c>
      <c r="B13" s="16" t="inlineStr">
        <is>
          <t xml:space="preserve">Beauty.A.Shuffle3</t>
        </is>
      </c>
      <c r="C13" s="16" t="inlineStr">
        <is>
          <t xml:space="preserve">Beauty</t>
        </is>
      </c>
      <c r="D13" s="16" t="inlineStr">
        <is>
          <t xml:space="preserve">Shuffle</t>
        </is>
      </c>
      <c r="E13" s="16" t="inlineStr">
        <is>
          <t xml:space="preserve">A</t>
        </is>
      </c>
      <c r="F13" s="16" t="inlineStr">
        <is>
          <t xml:space="preserve">Shuffle3</t>
        </is>
      </c>
      <c r="G13" s="17">
        <v>22363</v>
      </c>
      <c r="H13" s="16" t="inlineStr">
        <is>
          <t xml:space="preserve">Beauty.A.Normal</t>
        </is>
      </c>
      <c r="I13" s="16" t="inlineStr">
        <is>
          <t xml:space="preserve">Beauty-A-Normal</t>
        </is>
      </c>
      <c r="J13" s="16" t="inlineStr">
        <is>
          <t xml:space="preserve">同checkpoint/SID测试时扰动</t>
        </is>
      </c>
      <c r="K13" s="18">
        <v>0.04637123644351959</v>
      </c>
      <c r="L13" s="19">
        <f>IFERROR(K13-INDEX($K$9:$K$47,MATCH($H13,$A$9:$A$47,0)),"")</f>
        <v>0.00013414770364761</v>
      </c>
      <c r="M13" s="20">
        <f>IFERROR((K13-INDEX($K$9:$K$47,MATCH($H13,$A$9:$A$47,0)))/INDEX($K$9:$K$47,MATCH($H13,$A$9:$A$47,0)),"")</f>
        <v>0.0029013008237244269140690106765043510987021127712042</v>
      </c>
      <c r="N13" s="18">
        <v>0.031076978892087936</v>
      </c>
      <c r="O13" s="19">
        <f>IFERROR(N13-INDEX($N$9:$N$47,MATCH($H13,$A$9:$A$47,0)),"")</f>
        <v>-0.000175550580024720</v>
      </c>
      <c r="P13" s="20">
        <f>IFERROR((N13-INDEX($N$9:$N$47,MATCH($H13,$A$9:$A$47,0)))/INDEX($N$9:$N$47,MATCH($H13,$A$9:$A$47,0)),"")</f>
        <v>-0.0056171638900898495818494892132584935857569215812690</v>
      </c>
      <c r="Q13" s="18">
        <v>0.06635960936546326</v>
      </c>
      <c r="R13" s="19">
        <f>IFERROR(Q13-INDEX($Q$9:$Q$47,MATCH($H13,$A$9:$A$47,0)),"")</f>
        <v>-0.00008943676948547</v>
      </c>
      <c r="S13" s="20">
        <f>IFERROR((Q13-INDEX($Q$9:$Q$47,MATCH($H13,$A$9:$A$47,0)))/INDEX($Q$9:$Q$47,MATCH($H13,$A$9:$A$47,0)),"")</f>
        <v>-0.0013459451216776899277064154528603378562293059697341</v>
      </c>
      <c r="T13" s="18">
        <v>0.037486158311367035</v>
      </c>
      <c r="U13" s="19">
        <f>IFERROR(T13-INDEX($T$9:$T$47,MATCH($H13,$A$9:$A$47,0)),"")</f>
        <v>-0.000239193439483645</v>
      </c>
      <c r="V13" s="20">
        <f>IFERROR((T13-INDEX($T$9:$T$47,MATCH($H13,$A$9:$A$47,0)))/INDEX($T$9:$T$47,MATCH($H13,$A$9:$A$47,0)),"")</f>
        <v>-0.0063403899071199874793430168361802612599310800422531</v>
      </c>
      <c r="W13" s="16" t="inlineStr">
        <is>
          <t xml:space="preserve">T5-small / 512维</t>
        </is>
      </c>
      <c r="X13" s="16" t="inlineStr">
        <is>
          <t xml:space="preserve">R-Kmeans</t>
        </is>
      </c>
      <c r="Y13" s="16" t="inlineStr">
        <is>
          <t xml:space="preserve">双独立</t>
        </is>
      </c>
      <c r="Z13" s="16" t="inlineStr">
        <is>
          <t xml:space="preserve">step 4800 / 21b174d05154</t>
        </is>
      </c>
      <c r="AA13" s="17">
        <v>100</v>
      </c>
      <c r="AB13" s="17">
        <v>0</v>
      </c>
      <c r="AC13" s="16" t="inlineStr">
        <is>
          <t xml:space="preserve">gf-20261015-a-shuffle3-v1</t>
        </is>
      </c>
      <c r="AD13" s="16" t="inlineStr">
        <is>
          <t xml:space="preserve">2cf4c793c2e0b2e9dc7e7a9269f5e54d5c667896</t>
        </is>
      </c>
      <c r="AE13" s="16" t="inlineStr">
        <is>
          <t xml:space="preserve">原始结果 ↗</t>
        </is>
      </c>
      <c r="AF13" s="16" t="inlineStr">
        <is>
          <t xml:space="preserve">SID 188af0341d8c
CFG 6f336505677d</t>
        </is>
      </c>
      <c r="AG13" s="16" t="inlineStr">
        <is>
          <t xml:space="preserve">学长双表派生路线；与B同时改变文本表示、SID与权重。</t>
        </is>
      </c>
    </row>
    <row r="14" ht="84" customHeight="1">
      <c r="A14" s="16" t="inlineStr">
        <is>
          <t xml:space="preserve">Beauty.A.Shuffle4</t>
        </is>
      </c>
      <c r="B14" s="16" t="inlineStr">
        <is>
          <t xml:space="preserve">Beauty.A.Shuffle4</t>
        </is>
      </c>
      <c r="C14" s="16" t="inlineStr">
        <is>
          <t xml:space="preserve">Beauty</t>
        </is>
      </c>
      <c r="D14" s="16" t="inlineStr">
        <is>
          <t xml:space="preserve">Shuffle</t>
        </is>
      </c>
      <c r="E14" s="16" t="inlineStr">
        <is>
          <t xml:space="preserve">A</t>
        </is>
      </c>
      <c r="F14" s="16" t="inlineStr">
        <is>
          <t xml:space="preserve">Shuffle4</t>
        </is>
      </c>
      <c r="G14" s="17">
        <v>22363</v>
      </c>
      <c r="H14" s="16" t="inlineStr">
        <is>
          <t xml:space="preserve">Beauty.A.Normal</t>
        </is>
      </c>
      <c r="I14" s="16" t="inlineStr">
        <is>
          <t xml:space="preserve">Beauty-A-Normal</t>
        </is>
      </c>
      <c r="J14" s="16" t="inlineStr">
        <is>
          <t xml:space="preserve">同checkpoint/SID测试时扰动</t>
        </is>
      </c>
      <c r="K14" s="18">
        <v>0.045968785881996155</v>
      </c>
      <c r="L14" s="19">
        <f>IFERROR(K14-INDEX($K$9:$K$47,MATCH($H14,$A$9:$A$47,0)),"")</f>
        <v>-0.000268302857875825</v>
      </c>
      <c r="M14" s="20">
        <f>IFERROR((K14-INDEX($K$9:$K$47,MATCH($H14,$A$9:$A$47,0)))/INDEX($K$9:$K$47,MATCH($H14,$A$9:$A$47,0)),"")</f>
        <v>-0.0058027627860673969779843960859444361804973495119716</v>
      </c>
      <c r="N14" s="18">
        <v>0.0309330765157938</v>
      </c>
      <c r="O14" s="19">
        <f>IFERROR(N14-INDEX($N$9:$N$47,MATCH($H14,$A$9:$A$47,0)),"")</f>
        <v>-0.000319452956318856</v>
      </c>
      <c r="P14" s="20">
        <f>IFERROR((N14-INDEX($N$9:$N$47,MATCH($H14,$A$9:$A$47,0)))/INDEX($N$9:$N$47,MATCH($H14,$A$9:$A$47,0)),"")</f>
        <v>-0.010221667228692997482334615224697230919461062327721</v>
      </c>
      <c r="Q14" s="18">
        <v>0.06573357433080673</v>
      </c>
      <c r="R14" s="19">
        <f>IFERROR(Q14-INDEX($Q$9:$Q$47,MATCH($H14,$A$9:$A$47,0)),"")</f>
        <v>-0.00071547180414200</v>
      </c>
      <c r="S14" s="20">
        <f>IFERROR((Q14-INDEX($Q$9:$Q$47,MATCH($H14,$A$9:$A$47,0)))/INDEX($Q$9:$Q$47,MATCH($H14,$A$9:$A$47,0)),"")</f>
        <v>-0.010767224599266281636372271790767923359216368854060</v>
      </c>
      <c r="T14" s="18">
        <v>0.03728586062788963</v>
      </c>
      <c r="U14" s="19">
        <f>IFERROR(T14-INDEX($T$9:$T$47,MATCH($H14,$A$9:$A$47,0)),"")</f>
        <v>-0.00043949112296105</v>
      </c>
      <c r="V14" s="20">
        <f>IFERROR((T14-INDEX($T$9:$T$47,MATCH($H14,$A$9:$A$47,0)))/INDEX($T$9:$T$47,MATCH($H14,$A$9:$A$47,0)),"")</f>
        <v>-0.011649755471163758891016580477253999767400699384542</v>
      </c>
      <c r="W14" s="16" t="inlineStr">
        <is>
          <t xml:space="preserve">T5-small / 512维</t>
        </is>
      </c>
      <c r="X14" s="16" t="inlineStr">
        <is>
          <t xml:space="preserve">R-Kmeans</t>
        </is>
      </c>
      <c r="Y14" s="16" t="inlineStr">
        <is>
          <t xml:space="preserve">双独立</t>
        </is>
      </c>
      <c r="Z14" s="16" t="inlineStr">
        <is>
          <t xml:space="preserve">step 4800 / 21b174d05154</t>
        </is>
      </c>
      <c r="AA14" s="17">
        <v>119</v>
      </c>
      <c r="AB14" s="17">
        <v>0</v>
      </c>
      <c r="AC14" s="16" t="inlineStr">
        <is>
          <t xml:space="preserve">gf-20261015-a-shuffle4-v1</t>
        </is>
      </c>
      <c r="AD14" s="16" t="inlineStr">
        <is>
          <t xml:space="preserve">2cf4c793c2e0b2e9dc7e7a9269f5e54d5c667896</t>
        </is>
      </c>
      <c r="AE14" s="16" t="inlineStr">
        <is>
          <t xml:space="preserve">原始结果 ↗</t>
        </is>
      </c>
      <c r="AF14" s="16" t="inlineStr">
        <is>
          <t xml:space="preserve">SID 188af0341d8c
CFG 6f336505677d</t>
        </is>
      </c>
      <c r="AG14" s="16" t="inlineStr">
        <is>
          <t xml:space="preserve">学长双表派生路线；与B同时改变文本表示、SID与权重。</t>
        </is>
      </c>
    </row>
    <row r="15" ht="84" customHeight="1">
      <c r="A15" s="11" t="inlineStr">
        <is>
          <t xml:space="preserve">Beauty.B.Normal</t>
        </is>
      </c>
      <c r="B15" s="11" t="inlineStr">
        <is>
          <t xml:space="preserve">Beauty.B.Normal</t>
        </is>
      </c>
      <c r="C15" s="11" t="inlineStr">
        <is>
          <t xml:space="preserve">Beauty</t>
        </is>
      </c>
      <c r="D15" s="11" t="inlineStr">
        <is>
          <t xml:space="preserve">Baseline</t>
        </is>
      </c>
      <c r="E15" s="11" t="inlineStr">
        <is>
          <t xml:space="preserve">B</t>
        </is>
      </c>
      <c r="F15" s="11" t="inlineStr">
        <is>
          <t xml:space="preserve">Normal</t>
        </is>
      </c>
      <c r="G15" s="12">
        <v>22363</v>
      </c>
      <c r="H15" s="11" t="inlineStr">
        <is>
          <t xml:space="preserve">Beauty.Paper.RK-Means</t>
        </is>
      </c>
      <c r="I15" s="11" t="inlineStr">
        <is>
          <t xml:space="preserve">本域论文 RK-Means</t>
        </is>
      </c>
      <c r="J15" s="11" t="inlineStr">
        <is>
          <t xml:space="preserve">论文参考；非严格同配置复现</t>
        </is>
      </c>
      <c r="K15" s="13">
        <v>0.04315163567662239</v>
      </c>
      <c r="L15" s="14">
        <f>IFERROR(K15-INDEX($K$9:$K$47,MATCH($H15,$A$9:$A$47,0)),"")</f>
        <v>0.00095163567662239</v>
      </c>
      <c r="M15" s="15">
        <f>IFERROR((K15-INDEX($K$9:$K$47,MATCH($H15,$A$9:$A$47,0)))/INDEX($K$9:$K$47,MATCH($H15,$A$9:$A$47,0)),"")</f>
        <v>0.022550608450767535545023696682464454976303317535545</v>
      </c>
      <c r="N15" s="13">
        <v>0.029169954359531403</v>
      </c>
      <c r="O15" s="14">
        <f>IFERROR(N15-INDEX($N$9:$N$47,MATCH($H15,$A$9:$A$47,0)),"")</f>
        <v>0.001469954359531403</v>
      </c>
      <c r="P15" s="15">
        <f>IFERROR((N15-INDEX($N$9:$N$47,MATCH($H15,$A$9:$A$47,0)))/INDEX($N$9:$N$47,MATCH($H15,$A$9:$A$47,0)),"")</f>
        <v>0.053066944387415270758122743682310469314079422382671</v>
      </c>
      <c r="Q15" s="13">
        <v>0.06586772948503494</v>
      </c>
      <c r="R15" s="14">
        <f>IFERROR(Q15-INDEX($Q$9:$Q$47,MATCH($H15,$A$9:$A$47,0)),"")</f>
        <v>0.00196772948503494</v>
      </c>
      <c r="S15" s="15">
        <f>IFERROR((Q15-INDEX($Q$9:$Q$47,MATCH($H15,$A$9:$A$47,0)))/INDEX($Q$9:$Q$47,MATCH($H15,$A$9:$A$47,0)),"")</f>
        <v>0.030793888654693896713615023474178403755868544600939</v>
      </c>
      <c r="T15" s="13">
        <v>0.03643442690372467</v>
      </c>
      <c r="U15" s="14">
        <f>IFERROR(T15-INDEX($T$9:$T$47,MATCH($H15,$A$9:$A$47,0)),"")</f>
        <v>0.00173442690372467</v>
      </c>
      <c r="V15" s="15">
        <f>IFERROR((T15-INDEX($T$9:$T$47,MATCH($H15,$A$9:$A$47,0)))/INDEX($T$9:$T$47,MATCH($H15,$A$9:$A$47,0)),"")</f>
        <v>0.049983484257195100864553314121037463976945244956772</v>
      </c>
      <c r="W15" s="11" t="inlineStr">
        <is>
          <t xml:space="preserve">Qwen2.5-7B-Instruct / 3584维</t>
        </is>
      </c>
      <c r="X15" s="11" t="inlineStr">
        <is>
          <t xml:space="preserve">R-Kmeans</t>
        </is>
      </c>
      <c r="Y15" s="11" t="inlineStr">
        <is>
          <t xml:space="preserve">共享</t>
        </is>
      </c>
      <c r="Z15" s="11" t="inlineStr">
        <is>
          <t xml:space="preserve">step 12500 / 3d8f03cf0422</t>
        </is>
      </c>
      <c r="AA15" s="12">
        <v>75</v>
      </c>
      <c r="AB15" s="12">
        <v>0</v>
      </c>
      <c r="AC15" s="11" t="inlineStr">
        <is>
          <t xml:space="preserve">gf-20261015-b-normal-v1</t>
        </is>
      </c>
      <c r="AD15" s="11" t="inlineStr">
        <is>
          <t xml:space="preserve">2cf4c793c2e0b2e9dc7e7a9269f5e54d5c667896</t>
        </is>
      </c>
      <c r="AE15" s="11" t="inlineStr">
        <is>
          <t xml:space="preserve">原始结果 ↗</t>
        </is>
      </c>
      <c r="AF15" s="11" t="inlineStr">
        <is>
          <t xml:space="preserve">SID d41adcfb22a9
CFG 790e0d16c678</t>
        </is>
      </c>
      <c r="AG15" s="11" t="inlineStr">
        <is>
          <t xml:space="preserve">既有共享表Baseline；Encoder lookup作用域hook。</t>
        </is>
      </c>
    </row>
    <row r="16" ht="84" customHeight="1">
      <c r="A16" s="16" t="inlineStr">
        <is>
          <t xml:space="preserve">Beauty.B.Shuffle3</t>
        </is>
      </c>
      <c r="B16" s="16" t="inlineStr">
        <is>
          <t xml:space="preserve">Beauty.B.Shuffle3</t>
        </is>
      </c>
      <c r="C16" s="16" t="inlineStr">
        <is>
          <t xml:space="preserve">Beauty</t>
        </is>
      </c>
      <c r="D16" s="16" t="inlineStr">
        <is>
          <t xml:space="preserve">Shuffle</t>
        </is>
      </c>
      <c r="E16" s="16" t="inlineStr">
        <is>
          <t xml:space="preserve">B</t>
        </is>
      </c>
      <c r="F16" s="16" t="inlineStr">
        <is>
          <t xml:space="preserve">Shuffle3</t>
        </is>
      </c>
      <c r="G16" s="17">
        <v>22363</v>
      </c>
      <c r="H16" s="16" t="inlineStr">
        <is>
          <t xml:space="preserve">Beauty.B.Normal</t>
        </is>
      </c>
      <c r="I16" s="16" t="inlineStr">
        <is>
          <t xml:space="preserve">Beauty-B-Normal</t>
        </is>
      </c>
      <c r="J16" s="16" t="inlineStr">
        <is>
          <t xml:space="preserve">同checkpoint/SID测试时扰动</t>
        </is>
      </c>
      <c r="K16" s="18">
        <v>0.043285783380270004</v>
      </c>
      <c r="L16" s="19">
        <f>IFERROR(K16-INDEX($K$9:$K$47,MATCH($H16,$A$9:$A$47,0)),"")</f>
        <v>0.000134147703647614</v>
      </c>
      <c r="M16" s="20">
        <f>IFERROR((K16-INDEX($K$9:$K$47,MATCH($H16,$A$9:$A$47,0)))/INDEX($K$9:$K$47,MATCH($H16,$A$9:$A$47,0)),"")</f>
        <v>0.0031087513032626287108431781087013252891768640207888</v>
      </c>
      <c r="N16" s="18">
        <v>0.02906951680779457</v>
      </c>
      <c r="O16" s="19">
        <f>IFERROR(N16-INDEX($N$9:$N$47,MATCH($H16,$A$9:$A$47,0)),"")</f>
        <v>-0.000100437551736833</v>
      </c>
      <c r="P16" s="20">
        <f>IFERROR((N16-INDEX($N$9:$N$47,MATCH($H16,$A$9:$A$47,0)))/INDEX($N$9:$N$47,MATCH($H16,$A$9:$A$47,0)),"")</f>
        <v>-0.0034431850834903557319302000520824707918331377727134</v>
      </c>
      <c r="Q16" s="18">
        <v>0.06501810997724533</v>
      </c>
      <c r="R16" s="19">
        <f>IFERROR(Q16-INDEX($Q$9:$Q$47,MATCH($H16,$A$9:$A$47,0)),"")</f>
        <v>-0.00084961950778961</v>
      </c>
      <c r="S16" s="20">
        <f>IFERROR((Q16-INDEX($Q$9:$Q$47,MATCH($H16,$A$9:$A$47,0)))/INDEX($Q$9:$Q$47,MATCH($H16,$A$9:$A$47,0)),"")</f>
        <v>-0.012898873460981259651222564299200942520591969955139</v>
      </c>
      <c r="T16" s="18">
        <v>0.0360366590321064</v>
      </c>
      <c r="U16" s="19">
        <f>IFERROR(T16-INDEX($T$9:$T$47,MATCH($H16,$A$9:$A$47,0)),"")</f>
        <v>-0.00039776787161827</v>
      </c>
      <c r="V16" s="20">
        <f>IFERROR((T16-INDEX($T$9:$T$47,MATCH($H16,$A$9:$A$47,0)))/INDEX($T$9:$T$47,MATCH($H16,$A$9:$A$47,0)),"")</f>
        <v>-0.010917363203470792751701782424949270220448127912999</v>
      </c>
      <c r="W16" s="16" t="inlineStr">
        <is>
          <t xml:space="preserve">Qwen2.5-7B-Instruct / 3584维</t>
        </is>
      </c>
      <c r="X16" s="16" t="inlineStr">
        <is>
          <t xml:space="preserve">R-Kmeans</t>
        </is>
      </c>
      <c r="Y16" s="16" t="inlineStr">
        <is>
          <t xml:space="preserve">共享</t>
        </is>
      </c>
      <c r="Z16" s="16" t="inlineStr">
        <is>
          <t xml:space="preserve">step 12500 / 3d8f03cf0422</t>
        </is>
      </c>
      <c r="AA16" s="17">
        <v>72</v>
      </c>
      <c r="AB16" s="17">
        <v>0</v>
      </c>
      <c r="AC16" s="16" t="inlineStr">
        <is>
          <t xml:space="preserve">gf-20261015-b-shuffle3-v1</t>
        </is>
      </c>
      <c r="AD16" s="16" t="inlineStr">
        <is>
          <t xml:space="preserve">2cf4c793c2e0b2e9dc7e7a9269f5e54d5c667896</t>
        </is>
      </c>
      <c r="AE16" s="16" t="inlineStr">
        <is>
          <t xml:space="preserve">原始结果 ↗</t>
        </is>
      </c>
      <c r="AF16" s="16" t="inlineStr">
        <is>
          <t xml:space="preserve">SID d41adcfb22a9
CFG 790e0d16c678</t>
        </is>
      </c>
      <c r="AG16" s="16" t="inlineStr">
        <is>
          <t xml:space="preserve">既有共享表Baseline；Encoder lookup作用域hook。</t>
        </is>
      </c>
    </row>
    <row r="17" ht="84" customHeight="1">
      <c r="A17" s="16" t="inlineStr">
        <is>
          <t xml:space="preserve">Beauty.B.Shuffle4</t>
        </is>
      </c>
      <c r="B17" s="16" t="inlineStr">
        <is>
          <t xml:space="preserve">Beauty.B.Shuffle4</t>
        </is>
      </c>
      <c r="C17" s="16" t="inlineStr">
        <is>
          <t xml:space="preserve">Beauty</t>
        </is>
      </c>
      <c r="D17" s="16" t="inlineStr">
        <is>
          <t xml:space="preserve">Shuffle</t>
        </is>
      </c>
      <c r="E17" s="16" t="inlineStr">
        <is>
          <t xml:space="preserve">B</t>
        </is>
      </c>
      <c r="F17" s="16" t="inlineStr">
        <is>
          <t xml:space="preserve">Shuffle4</t>
        </is>
      </c>
      <c r="G17" s="17">
        <v>22363</v>
      </c>
      <c r="H17" s="16" t="inlineStr">
        <is>
          <t xml:space="preserve">Beauty.B.Normal</t>
        </is>
      </c>
      <c r="I17" s="16" t="inlineStr">
        <is>
          <t xml:space="preserve">Beauty-B-Normal</t>
        </is>
      </c>
      <c r="J17" s="16" t="inlineStr">
        <is>
          <t xml:space="preserve">同checkpoint/SID测试时扰动</t>
        </is>
      </c>
      <c r="K17" s="18">
        <v>0.04279389977455139</v>
      </c>
      <c r="L17" s="19">
        <f>IFERROR(K17-INDEX($K$9:$K$47,MATCH($H17,$A$9:$A$47,0)),"")</f>
        <v>-0.00035773590207100</v>
      </c>
      <c r="M17" s="20">
        <f>IFERROR((K17-INDEX($K$9:$K$47,MATCH($H17,$A$9:$A$47,0)))/INDEX($K$9:$K$47,MATCH($H17,$A$9:$A$47,0)),"")</f>
        <v>-0.0082902049125522529674519539590577900942190468178363</v>
      </c>
      <c r="N17" s="18">
        <v>0.028868502005934715</v>
      </c>
      <c r="O17" s="19">
        <f>IFERROR(N17-INDEX($N$9:$N$47,MATCH($H17,$A$9:$A$47,0)),"")</f>
        <v>-0.000301452353596688</v>
      </c>
      <c r="P17" s="20">
        <f>IFERROR((N17-INDEX($N$9:$N$47,MATCH($H17,$A$9:$A$47,0)))/INDEX($N$9:$N$47,MATCH($H17,$A$9:$A$47,0)),"")</f>
        <v>-0.010334344369592309597585460449122888309177239250676</v>
      </c>
      <c r="Q17" s="18">
        <v>0.06448151171207428</v>
      </c>
      <c r="R17" s="19">
        <f>IFERROR(Q17-INDEX($Q$9:$Q$47,MATCH($H17,$A$9:$A$47,0)),"")</f>
        <v>-0.00138621777296066</v>
      </c>
      <c r="S17" s="20">
        <f>IFERROR((Q17-INDEX($Q$9:$Q$47,MATCH($H17,$A$9:$A$47,0)))/INDEX($Q$9:$Q$47,MATCH($H17,$A$9:$A$47,0)),"")</f>
        <v>-0.021045476803259277717920780715621107884948619896861</v>
      </c>
      <c r="T17" s="18">
        <v>0.03584243357181549</v>
      </c>
      <c r="U17" s="19">
        <f>IFERROR(T17-INDEX($T$9:$T$47,MATCH($H17,$A$9:$A$47,0)),"")</f>
        <v>-0.00059199333190918</v>
      </c>
      <c r="V17" s="20">
        <f>IFERROR((T17-INDEX($T$9:$T$47,MATCH($H17,$A$9:$A$47,0)))/INDEX($T$9:$T$47,MATCH($H17,$A$9:$A$47,0)),"")</f>
        <v>-0.016248185636993260086203258324195606046917629765853</v>
      </c>
      <c r="W17" s="16" t="inlineStr">
        <is>
          <t xml:space="preserve">Qwen2.5-7B-Instruct / 3584维</t>
        </is>
      </c>
      <c r="X17" s="16" t="inlineStr">
        <is>
          <t xml:space="preserve">R-Kmeans</t>
        </is>
      </c>
      <c r="Y17" s="16" t="inlineStr">
        <is>
          <t xml:space="preserve">共享</t>
        </is>
      </c>
      <c r="Z17" s="16" t="inlineStr">
        <is>
          <t xml:space="preserve">step 12500 / 3d8f03cf0422</t>
        </is>
      </c>
      <c r="AA17" s="17">
        <v>87</v>
      </c>
      <c r="AB17" s="17">
        <v>0</v>
      </c>
      <c r="AC17" s="16" t="inlineStr">
        <is>
          <t xml:space="preserve">gf-20261015-b-shuffle4-v1</t>
        </is>
      </c>
      <c r="AD17" s="16" t="inlineStr">
        <is>
          <t xml:space="preserve">2cf4c793c2e0b2e9dc7e7a9269f5e54d5c667896</t>
        </is>
      </c>
      <c r="AE17" s="16" t="inlineStr">
        <is>
          <t xml:space="preserve">原始结果 ↗</t>
        </is>
      </c>
      <c r="AF17" s="16" t="inlineStr">
        <is>
          <t xml:space="preserve">SID d41adcfb22a9
CFG 790e0d16c678</t>
        </is>
      </c>
      <c r="AG17" s="16" t="inlineStr">
        <is>
          <t xml:space="preserve">既有共享表Baseline；Encoder lookup作用域hook。</t>
        </is>
      </c>
    </row>
    <row r="18" ht="84" customHeight="1">
      <c r="A18" s="21" t="inlineStr">
        <is>
          <t xml:space="preserve">Beauty.MLP.vs.A.Normal</t>
        </is>
      </c>
      <c r="B18" s="21" t="inlineStr">
        <is>
          <t xml:space="preserve">Beauty.MLP.Formal</t>
        </is>
      </c>
      <c r="C18" s="21" t="inlineStr">
        <is>
          <t xml:space="preserve">Beauty</t>
        </is>
      </c>
      <c r="D18" s="21" t="inlineStr">
        <is>
          <t xml:space="preserve">MLP</t>
        </is>
      </c>
      <c r="E18" s="21" t="inlineStr">
        <is>
          <t xml:space="preserve">MLP</t>
        </is>
      </c>
      <c r="F18" s="21" t="inlineStr">
        <is>
          <t xml:space="preserve">MLP</t>
        </is>
      </c>
      <c r="G18" s="22">
        <v>22363</v>
      </c>
      <c r="H18" s="21" t="inlineStr">
        <is>
          <t xml:space="preserve">Beauty.A.Normal</t>
        </is>
      </c>
      <c r="I18" s="21" t="inlineStr">
        <is>
          <t xml:space="preserve">Beauty-A-Normal</t>
        </is>
      </c>
      <c r="J18" s="21" t="inlineStr">
        <is>
          <t xml:space="preserve">参考性能差值；非严格单因素增益</t>
        </is>
      </c>
      <c r="K18" s="23">
        <v>0.04333050176501274</v>
      </c>
      <c r="L18" s="24">
        <f>IFERROR(K18-INDEX($K$9:$K$47,MATCH($H18,$A$9:$A$47,0)),"")</f>
        <v>-0.00290658697485924</v>
      </c>
      <c r="M18" s="25">
        <f>IFERROR((K18-INDEX($K$9:$K$47,MATCH($H18,$A$9:$A$47,0)))/INDEX($K$9:$K$47,MATCH($H18,$A$9:$A$47,0)),"")</f>
        <v>-0.062862672674129259621628635172949708032911957545153</v>
      </c>
      <c r="N18" s="23">
        <v>0.030580179765820503</v>
      </c>
      <c r="O18" s="24">
        <f>IFERROR(N18-INDEX($N$9:$N$47,MATCH($H18,$A$9:$A$47,0)),"")</f>
        <v>-0.000672349706292153</v>
      </c>
      <c r="P18" s="25">
        <f>IFERROR((N18-INDEX($N$9:$N$47,MATCH($H18,$A$9:$A$47,0)))/INDEX($N$9:$N$47,MATCH($H18,$A$9:$A$47,0)),"")</f>
        <v>-0.021513449235912439006526730594847664452051519419282</v>
      </c>
      <c r="Q18" s="23">
        <v>0.061709072440862656</v>
      </c>
      <c r="R18" s="24">
        <f>IFERROR(Q18-INDEX($Q$9:$Q$47,MATCH($H18,$A$9:$A$47,0)),"")</f>
        <v>-0.004739973694086074</v>
      </c>
      <c r="S18" s="25">
        <f>IFERROR((Q18-INDEX($Q$9:$Q$47,MATCH($H18,$A$9:$A$47,0)))/INDEX($Q$9:$Q$47,MATCH($H18,$A$9:$A$47,0)),"")</f>
        <v>-0.071332456518034127760255163965722264047011554298780</v>
      </c>
      <c r="T18" s="23">
        <v>0.036571044474840164</v>
      </c>
      <c r="U18" s="24">
        <f>IFERROR(T18-INDEX($T$9:$T$47,MATCH($H18,$A$9:$A$47,0)),"")</f>
        <v>-0.001154307276010516</v>
      </c>
      <c r="V18" s="25">
        <f>IFERROR((T18-INDEX($T$9:$T$47,MATCH($H18,$A$9:$A$47,0)))/INDEX($T$9:$T$47,MATCH($H18,$A$9:$A$47,0)),"")</f>
        <v>-0.030597654427025645621237125344574845540356746187151</v>
      </c>
      <c r="W18" s="21" t="inlineStr">
        <is>
          <t xml:space="preserve">T5（已批准条件）</t>
        </is>
      </c>
      <c r="X18" s="21" t="inlineStr">
        <is>
          <t xml:space="preserve">RQ-VAE+STE</t>
        </is>
      </c>
      <c r="Y18" s="21" t="inlineStr">
        <is>
          <t xml:space="preserve">共享</t>
        </is>
      </c>
      <c r="Z18" s="21" t="inlineStr">
        <is>
          <t xml:space="preserve">best step 2600 / 52f182924908</t>
        </is>
      </c>
      <c r="AA18" s="22">
        <v>24</v>
      </c>
      <c r="AB18" s="22">
        <v>0</v>
      </c>
      <c r="AC18" s="21" t="inlineStr">
        <is>
          <t xml:space="preserve">beauty-mlp-formal-v1</t>
        </is>
      </c>
      <c r="AD18" s="21" t="inlineStr">
        <is>
          <t xml:space="preserve">89b6d961c81333b0a44c4eb17527ced11897849f</t>
        </is>
      </c>
      <c r="AE18" s="21" t="inlineStr">
        <is>
          <t xml:space="preserve">原始结果 ↗</t>
        </is>
      </c>
      <c r="AF18" s="21" t="inlineStr">
        <is>
          <t xml:space="preserve">SID 2a9513a5d7c2
CFG 31a51bd5d203</t>
        </is>
      </c>
      <c r="AG18" s="21" t="inlineStr">
        <is>
          <t xml:space="preserve">同一MLP模型的不同参考行；不计为额外实验。无唯一匹配Normal；SID/结构/训练协议有差异。</t>
        </is>
      </c>
    </row>
    <row r="19" ht="84" customHeight="1">
      <c r="A19" s="21" t="inlineStr">
        <is>
          <t xml:space="preserve">Beauty.MLP.vs.B.Normal</t>
        </is>
      </c>
      <c r="B19" s="21" t="inlineStr">
        <is>
          <t xml:space="preserve">Beauty.MLP.Formal</t>
        </is>
      </c>
      <c r="C19" s="21" t="inlineStr">
        <is>
          <t xml:space="preserve">Beauty</t>
        </is>
      </c>
      <c r="D19" s="21" t="inlineStr">
        <is>
          <t xml:space="preserve">MLP</t>
        </is>
      </c>
      <c r="E19" s="21" t="inlineStr">
        <is>
          <t xml:space="preserve">MLP</t>
        </is>
      </c>
      <c r="F19" s="21" t="inlineStr">
        <is>
          <t xml:space="preserve">MLP</t>
        </is>
      </c>
      <c r="G19" s="22">
        <v>22363</v>
      </c>
      <c r="H19" s="21" t="inlineStr">
        <is>
          <t xml:space="preserve">Beauty.B.Normal</t>
        </is>
      </c>
      <c r="I19" s="21" t="inlineStr">
        <is>
          <t xml:space="preserve">Beauty-B-Normal</t>
        </is>
      </c>
      <c r="J19" s="21" t="inlineStr">
        <is>
          <t xml:space="preserve">参考性能差值；非严格单因素增益</t>
        </is>
      </c>
      <c r="K19" s="23">
        <v>0.04333050176501274</v>
      </c>
      <c r="L19" s="24">
        <f>IFERROR(K19-INDEX($K$9:$K$47,MATCH($H19,$A$9:$A$47,0)),"")</f>
        <v>0.00017886608839035</v>
      </c>
      <c r="M19" s="25">
        <f>IFERROR((K19-INDEX($K$9:$K$47,MATCH($H19,$A$9:$A$47,0)))/INDEX($K$9:$K$47,MATCH($H19,$A$9:$A$47,0)),"")</f>
        <v>0.0041450592911649831048173087140010352925165648509748</v>
      </c>
      <c r="N19" s="23">
        <v>0.030580179765820503</v>
      </c>
      <c r="O19" s="24">
        <f>IFERROR(N19-INDEX($N$9:$N$47,MATCH($H19,$A$9:$A$47,0)),"")</f>
        <v>0.001410225406289100</v>
      </c>
      <c r="P19" s="25">
        <f>IFERROR((N19-INDEX($N$9:$N$47,MATCH($H19,$A$9:$A$47,0)))/INDEX($N$9:$N$47,MATCH($H19,$A$9:$A$47,0)),"")</f>
        <v>0.048345135851345719610667675044397979665634957135990</v>
      </c>
      <c r="Q19" s="23">
        <v>0.061709072440862656</v>
      </c>
      <c r="R19" s="24">
        <f>IFERROR(Q19-INDEX($Q$9:$Q$47,MATCH($H19,$A$9:$A$47,0)),"")</f>
        <v>-0.004158657044172284</v>
      </c>
      <c r="S19" s="25">
        <f>IFERROR((Q19-INDEX($Q$9:$Q$47,MATCH($H19,$A$9:$A$47,0)))/INDEX($Q$9:$Q$47,MATCH($H19,$A$9:$A$47,0)),"")</f>
        <v>-0.063136486966916406548507521258688717455906115270767</v>
      </c>
      <c r="T19" s="23">
        <v>0.036571044474840164</v>
      </c>
      <c r="U19" s="24">
        <f>IFERROR(T19-INDEX($T$9:$T$47,MATCH($H19,$A$9:$A$47,0)),"")</f>
        <v>0.000136617571115494</v>
      </c>
      <c r="V19" s="25">
        <f>IFERROR((T19-INDEX($T$9:$T$47,MATCH($H19,$A$9:$A$47,0)))/INDEX($T$9:$T$47,MATCH($H19,$A$9:$A$47,0)),"")</f>
        <v>0.0037496835472805986741608490220636161693815557384927</v>
      </c>
      <c r="W19" s="21" t="inlineStr">
        <is>
          <t xml:space="preserve">T5（已批准条件）</t>
        </is>
      </c>
      <c r="X19" s="21" t="inlineStr">
        <is>
          <t xml:space="preserve">RQ-VAE+STE</t>
        </is>
      </c>
      <c r="Y19" s="21" t="inlineStr">
        <is>
          <t xml:space="preserve">共享</t>
        </is>
      </c>
      <c r="Z19" s="21" t="inlineStr">
        <is>
          <t xml:space="preserve">best step 2600 / 52f182924908</t>
        </is>
      </c>
      <c r="AA19" s="22">
        <v>24</v>
      </c>
      <c r="AB19" s="22">
        <v>0</v>
      </c>
      <c r="AC19" s="21" t="inlineStr">
        <is>
          <t xml:space="preserve">beauty-mlp-formal-v1</t>
        </is>
      </c>
      <c r="AD19" s="21" t="inlineStr">
        <is>
          <t xml:space="preserve">89b6d961c81333b0a44c4eb17527ced11897849f</t>
        </is>
      </c>
      <c r="AE19" s="21" t="inlineStr">
        <is>
          <t xml:space="preserve">原始结果 ↗</t>
        </is>
      </c>
      <c r="AF19" s="21" t="inlineStr">
        <is>
          <t xml:space="preserve">SID 2a9513a5d7c2
CFG 31a51bd5d203</t>
        </is>
      </c>
      <c r="AG19" s="21" t="inlineStr">
        <is>
          <t xml:space="preserve">同一MLP模型的不同参考行；不计为额外实验。无唯一匹配Normal；SID/结构/训练协议有差异。</t>
        </is>
      </c>
    </row>
    <row r="20" ht="84" customHeight="1">
      <c r="A20" s="5" t="inlineStr">
        <is>
          <t xml:space="preserve">Toys.Paper.RK-Means</t>
        </is>
      </c>
      <c r="B20" s="5" t="inlineStr">
        <is>
          <t xml:space="preserve">Toys.Paper.RK-Means</t>
        </is>
      </c>
      <c r="C20" s="5" t="inlineStr">
        <is>
          <t xml:space="preserve">Toys</t>
        </is>
      </c>
      <c r="D20" s="5" t="inlineStr">
        <is>
          <t xml:space="preserve">论文</t>
        </is>
      </c>
      <c r="E20" s="5" t="inlineStr">
        <is>
          <t xml:space="preserve">RK-Means</t>
        </is>
      </c>
      <c r="F20" s="5" t="inlineStr">
        <is>
          <t xml:space="preserve">Paper</t>
        </is>
      </c>
      <c r="G20" s="6"/>
      <c r="H20" s="5"/>
      <c r="I20" s="5" t="inlineStr">
        <is>
          <t xml:space="preserve">无对照（论文参考值）</t>
        </is>
      </c>
      <c r="J20" s="5" t="inlineStr">
        <is>
          <t xml:space="preserve">论文5-seed汇总</t>
        </is>
      </c>
      <c r="K20" s="7">
        <v>0.0376</v>
      </c>
      <c r="L20" s="6"/>
      <c r="M20" s="6"/>
      <c r="N20" s="7">
        <v>0.0243</v>
      </c>
      <c r="O20" s="6"/>
      <c r="P20" s="6"/>
      <c r="Q20" s="7">
        <v>0.0577</v>
      </c>
      <c r="R20" s="6"/>
      <c r="S20" s="6"/>
      <c r="T20" s="7">
        <v>0.0308</v>
      </c>
      <c r="U20" s="6"/>
      <c r="V20" s="6"/>
      <c r="W20" s="5" t="inlineStr">
        <is>
          <t xml:space="preserve">Flan-T5-XL（默认）</t>
        </is>
      </c>
      <c r="X20" s="5" t="inlineStr">
        <is>
          <t xml:space="preserve">RK-Means</t>
        </is>
      </c>
      <c r="Y20" s="5" t="inlineStr">
        <is>
          <t xml:space="preserve">论文未对应</t>
        </is>
      </c>
      <c r="Z20" s="5" t="inlineStr">
        <is>
          <t xml:space="preserve">5 seeds均值；无单一checkpoint</t>
        </is>
      </c>
      <c r="AA20" s="6"/>
      <c r="AB20" s="6"/>
      <c r="AC20" s="5"/>
      <c r="AD20" s="5" t="inlineStr">
        <is>
          <t xml:space="preserve">arXiv:2507.22224v1</t>
        </is>
      </c>
      <c r="AE20" s="5" t="inlineStr">
        <is>
          <t xml:space="preserve">原始结果 ↗</t>
        </is>
      </c>
      <c r="AF20" s="5" t="inlineStr">
        <is>
          <t xml:space="preserve">论文固定原文 ↗</t>
        </is>
      </c>
      <c r="AG20" s="5" t="inlineStr">
        <is>
          <t xml:space="preserve">论文原列R5/R10/N5/N10已交换为R5/N5/R10/N10；未把本域目标数冒充论文独立记录。</t>
        </is>
      </c>
    </row>
    <row r="21" ht="84" customHeight="1">
      <c r="A21" s="8" t="inlineStr">
        <is>
          <t xml:space="preserve">Toys.Paper.R-VQ</t>
        </is>
      </c>
      <c r="B21" s="8" t="inlineStr">
        <is>
          <t xml:space="preserve">Toys.Paper.R-VQ</t>
        </is>
      </c>
      <c r="C21" s="8" t="inlineStr">
        <is>
          <t xml:space="preserve">Toys</t>
        </is>
      </c>
      <c r="D21" s="8" t="inlineStr">
        <is>
          <t xml:space="preserve">论文</t>
        </is>
      </c>
      <c r="E21" s="8" t="inlineStr">
        <is>
          <t xml:space="preserve">R-VQ</t>
        </is>
      </c>
      <c r="F21" s="8" t="inlineStr">
        <is>
          <t xml:space="preserve">Paper</t>
        </is>
      </c>
      <c r="G21" s="9"/>
      <c r="H21" s="8"/>
      <c r="I21" s="8" t="inlineStr">
        <is>
          <t xml:space="preserve">无对照（论文参考值）</t>
        </is>
      </c>
      <c r="J21" s="8" t="inlineStr">
        <is>
          <t xml:space="preserve">论文5-seed汇总</t>
        </is>
      </c>
      <c r="K21" s="10">
        <v>0.0327</v>
      </c>
      <c r="L21" s="9"/>
      <c r="M21" s="9"/>
      <c r="N21" s="10">
        <v>0.0209</v>
      </c>
      <c r="O21" s="9"/>
      <c r="P21" s="9"/>
      <c r="Q21" s="10">
        <v>0.0493</v>
      </c>
      <c r="R21" s="9"/>
      <c r="S21" s="9"/>
      <c r="T21" s="10">
        <v>0.0262</v>
      </c>
      <c r="U21" s="9"/>
      <c r="V21" s="9"/>
      <c r="W21" s="8" t="inlineStr">
        <is>
          <t xml:space="preserve">Flan-T5-XL（默认）</t>
        </is>
      </c>
      <c r="X21" s="8" t="inlineStr">
        <is>
          <t xml:space="preserve">R-VQ</t>
        </is>
      </c>
      <c r="Y21" s="8" t="inlineStr">
        <is>
          <t xml:space="preserve">论文未对应</t>
        </is>
      </c>
      <c r="Z21" s="8" t="inlineStr">
        <is>
          <t xml:space="preserve">5 seeds均值；无单一checkpoint</t>
        </is>
      </c>
      <c r="AA21" s="9"/>
      <c r="AB21" s="9"/>
      <c r="AC21" s="8"/>
      <c r="AD21" s="8" t="inlineStr">
        <is>
          <t xml:space="preserve">arXiv:2507.22224v1</t>
        </is>
      </c>
      <c r="AE21" s="8" t="inlineStr">
        <is>
          <t xml:space="preserve">原始结果 ↗</t>
        </is>
      </c>
      <c r="AF21" s="8" t="inlineStr">
        <is>
          <t xml:space="preserve">论文固定原文 ↗</t>
        </is>
      </c>
      <c r="AG21" s="8" t="inlineStr">
        <is>
          <t xml:space="preserve">论文原列R5/R10/N5/N10已交换为R5/N5/R10/N10；未把本域目标数冒充论文独立记录。</t>
        </is>
      </c>
    </row>
    <row r="22" ht="84" customHeight="1">
      <c r="A22" s="8" t="inlineStr">
        <is>
          <t xml:space="preserve">Toys.Paper.RQ-VAE</t>
        </is>
      </c>
      <c r="B22" s="8" t="inlineStr">
        <is>
          <t xml:space="preserve">Toys.Paper.RQ-VAE</t>
        </is>
      </c>
      <c r="C22" s="8" t="inlineStr">
        <is>
          <t xml:space="preserve">Toys</t>
        </is>
      </c>
      <c r="D22" s="8" t="inlineStr">
        <is>
          <t xml:space="preserve">论文</t>
        </is>
      </c>
      <c r="E22" s="8" t="inlineStr">
        <is>
          <t xml:space="preserve">RQ-VAE</t>
        </is>
      </c>
      <c r="F22" s="8" t="inlineStr">
        <is>
          <t xml:space="preserve">Paper</t>
        </is>
      </c>
      <c r="G22" s="9"/>
      <c r="H22" s="8"/>
      <c r="I22" s="8" t="inlineStr">
        <is>
          <t xml:space="preserve">无对照（论文参考值）</t>
        </is>
      </c>
      <c r="J22" s="8" t="inlineStr">
        <is>
          <t xml:space="preserve">论文5-seed汇总</t>
        </is>
      </c>
      <c r="K22" s="10">
        <v>0.0342</v>
      </c>
      <c r="L22" s="9"/>
      <c r="M22" s="9"/>
      <c r="N22" s="10">
        <v>0.0224</v>
      </c>
      <c r="O22" s="9"/>
      <c r="P22" s="9"/>
      <c r="Q22" s="10">
        <v>0.0514</v>
      </c>
      <c r="R22" s="9"/>
      <c r="S22" s="9"/>
      <c r="T22" s="10">
        <v>0.0280</v>
      </c>
      <c r="U22" s="9"/>
      <c r="V22" s="9"/>
      <c r="W22" s="8" t="inlineStr">
        <is>
          <t xml:space="preserve">Flan-T5-XL（默认）</t>
        </is>
      </c>
      <c r="X22" s="8" t="inlineStr">
        <is>
          <t xml:space="preserve">RQ-VAE</t>
        </is>
      </c>
      <c r="Y22" s="8" t="inlineStr">
        <is>
          <t xml:space="preserve">论文未对应</t>
        </is>
      </c>
      <c r="Z22" s="8" t="inlineStr">
        <is>
          <t xml:space="preserve">5 seeds均值；无单一checkpoint</t>
        </is>
      </c>
      <c r="AA22" s="9"/>
      <c r="AB22" s="9"/>
      <c r="AC22" s="8"/>
      <c r="AD22" s="8" t="inlineStr">
        <is>
          <t xml:space="preserve">arXiv:2507.22224v1</t>
        </is>
      </c>
      <c r="AE22" s="8" t="inlineStr">
        <is>
          <t xml:space="preserve">原始结果 ↗</t>
        </is>
      </c>
      <c r="AF22" s="8" t="inlineStr">
        <is>
          <t xml:space="preserve">论文固定原文 ↗</t>
        </is>
      </c>
      <c r="AG22" s="8" t="inlineStr">
        <is>
          <t xml:space="preserve">论文原列R5/R10/N5/N10已交换为R5/N5/R10/N10；未把本域目标数冒充论文独立记录。</t>
        </is>
      </c>
    </row>
    <row r="23" ht="84" customHeight="1">
      <c r="A23" s="11" t="inlineStr">
        <is>
          <t xml:space="preserve">Toys.B.Normal</t>
        </is>
      </c>
      <c r="B23" s="11" t="inlineStr">
        <is>
          <t xml:space="preserve">Toys.B.Normal</t>
        </is>
      </c>
      <c r="C23" s="11" t="inlineStr">
        <is>
          <t xml:space="preserve">Toys</t>
        </is>
      </c>
      <c r="D23" s="11" t="inlineStr">
        <is>
          <t xml:space="preserve">Baseline</t>
        </is>
      </c>
      <c r="E23" s="11" t="inlineStr">
        <is>
          <t xml:space="preserve">B</t>
        </is>
      </c>
      <c r="F23" s="11" t="inlineStr">
        <is>
          <t xml:space="preserve">Normal</t>
        </is>
      </c>
      <c r="G23" s="12">
        <v>19412</v>
      </c>
      <c r="H23" s="11" t="inlineStr">
        <is>
          <t xml:space="preserve">Toys.Paper.RK-Means</t>
        </is>
      </c>
      <c r="I23" s="11" t="inlineStr">
        <is>
          <t xml:space="preserve">本域论文 RK-Means</t>
        </is>
      </c>
      <c r="J23" s="11" t="inlineStr">
        <is>
          <t xml:space="preserve">论文参考；非严格同配置复现</t>
        </is>
      </c>
      <c r="K23" s="13">
        <v>0.0420873686671257</v>
      </c>
      <c r="L23" s="14">
        <f>IFERROR(K23-INDEX($K$9:$K$47,MATCH($H23,$A$9:$A$47,0)),"")</f>
        <v>0.0044873686671257</v>
      </c>
      <c r="M23" s="15">
        <f>IFERROR((K23-INDEX($K$9:$K$47,MATCH($H23,$A$9:$A$47,0)))/INDEX($K$9:$K$47,MATCH($H23,$A$9:$A$47,0)),"")</f>
        <v>0.11934491135972606382978723404255319148936170212766</v>
      </c>
      <c r="N23" s="13">
        <v>0.0269868616014719</v>
      </c>
      <c r="O23" s="14">
        <f>IFERROR(N23-INDEX($N$9:$N$47,MATCH($H23,$A$9:$A$47,0)),"")</f>
        <v>0.0026868616014719</v>
      </c>
      <c r="P23" s="15">
        <f>IFERROR((N23-INDEX($N$9:$N$47,MATCH($H23,$A$9:$A$47,0)))/INDEX($N$9:$N$47,MATCH($H23,$A$9:$A$47,0)),"")</f>
        <v>0.11057043627456378600823045267489711934156378600823</v>
      </c>
      <c r="Q23" s="13">
        <v>0.06583556532859802</v>
      </c>
      <c r="R23" s="14">
        <f>IFERROR(Q23-INDEX($Q$9:$Q$47,MATCH($H23,$A$9:$A$47,0)),"")</f>
        <v>0.00813556532859802</v>
      </c>
      <c r="S23" s="15">
        <f>IFERROR((Q23-INDEX($Q$9:$Q$47,MATCH($H23,$A$9:$A$47,0)))/INDEX($Q$9:$Q$47,MATCH($H23,$A$9:$A$47,0)),"")</f>
        <v>0.14099766600689809358752166377816291161178509532062</v>
      </c>
      <c r="T23" s="13">
        <v>0.03460293635725975</v>
      </c>
      <c r="U23" s="14">
        <f>IFERROR(T23-INDEX($T$9:$T$47,MATCH($H23,$A$9:$A$47,0)),"")</f>
        <v>0.00380293635725975</v>
      </c>
      <c r="V23" s="15">
        <f>IFERROR((T23-INDEX($T$9:$T$47,MATCH($H23,$A$9:$A$47,0)))/INDEX($T$9:$T$47,MATCH($H23,$A$9:$A$47,0)),"")</f>
        <v>0.12347195965129058441558441558441558441558441558442</v>
      </c>
      <c r="W23" s="11" t="inlineStr">
        <is>
          <t xml:space="preserve">Qwen2.5-7B-Instruct / 3584维</t>
        </is>
      </c>
      <c r="X23" s="11" t="inlineStr">
        <is>
          <t xml:space="preserve">R-Kmeans</t>
        </is>
      </c>
      <c r="Y23" s="11" t="inlineStr">
        <is>
          <t xml:space="preserve">共享</t>
        </is>
      </c>
      <c r="Z23" s="11" t="inlineStr">
        <is>
          <t xml:space="preserve">step 6200 / f778135f116c</t>
        </is>
      </c>
      <c r="AA23" s="12">
        <v>61</v>
      </c>
      <c r="AB23" s="12">
        <v>0</v>
      </c>
      <c r="AC23" s="11" t="inlineStr">
        <is>
          <t xml:space="preserve">gs-20261017-toys-b-normal-v1</t>
        </is>
      </c>
      <c r="AD23" s="11" t="inlineStr">
        <is>
          <t xml:space="preserve">c8acac42d5e13ca80af75faac5d1f7bc33fb589f</t>
        </is>
      </c>
      <c r="AE23" s="11" t="inlineStr">
        <is>
          <t xml:space="preserve">原始结果 ↗</t>
        </is>
      </c>
      <c r="AF23" s="11" t="inlineStr">
        <is>
          <t xml:space="preserve">SID c6d516be6b65
CFG 38edf61240a1</t>
        </is>
      </c>
      <c r="AG23" s="11" t="inlineStr">
        <is>
          <t xml:space="preserve">B类适配；不是学长双表完整生成器。</t>
        </is>
      </c>
    </row>
    <row r="24" ht="84" customHeight="1">
      <c r="A24" s="16" t="inlineStr">
        <is>
          <t xml:space="preserve">Toys.B.Shuffle3</t>
        </is>
      </c>
      <c r="B24" s="16" t="inlineStr">
        <is>
          <t xml:space="preserve">Toys.B.Shuffle3</t>
        </is>
      </c>
      <c r="C24" s="16" t="inlineStr">
        <is>
          <t xml:space="preserve">Toys</t>
        </is>
      </c>
      <c r="D24" s="16" t="inlineStr">
        <is>
          <t xml:space="preserve">Shuffle</t>
        </is>
      </c>
      <c r="E24" s="16" t="inlineStr">
        <is>
          <t xml:space="preserve">B</t>
        </is>
      </c>
      <c r="F24" s="16" t="inlineStr">
        <is>
          <t xml:space="preserve">Shuffle3</t>
        </is>
      </c>
      <c r="G24" s="17">
        <v>19412</v>
      </c>
      <c r="H24" s="16" t="inlineStr">
        <is>
          <t xml:space="preserve">Toys.B.Normal</t>
        </is>
      </c>
      <c r="I24" s="16" t="inlineStr">
        <is>
          <t xml:space="preserve">Toys-B-Normal</t>
        </is>
      </c>
      <c r="J24" s="16" t="inlineStr">
        <is>
          <t xml:space="preserve">同checkpoint/SID测试时扰动</t>
        </is>
      </c>
      <c r="K24" s="18">
        <v>0.040490418672561646</v>
      </c>
      <c r="L24" s="19">
        <f>IFERROR(K24-INDEX($K$9:$K$47,MATCH($H24,$A$9:$A$47,0)),"")</f>
        <v>-0.001596949994564054</v>
      </c>
      <c r="M24" s="20">
        <f>IFERROR((K24-INDEX($K$9:$K$47,MATCH($H24,$A$9:$A$47,0)))/INDEX($K$9:$K$47,MATCH($H24,$A$9:$A$47,0)),"")</f>
        <v>-0.037943688216636508082297232272680993309562656939315</v>
      </c>
      <c r="N24" s="18">
        <v>0.025995448231697083</v>
      </c>
      <c r="O24" s="19">
        <f>IFERROR(N24-INDEX($N$9:$N$47,MATCH($H24,$A$9:$A$47,0)),"")</f>
        <v>-0.000991413369774817</v>
      </c>
      <c r="P24" s="20">
        <f>IFERROR((N24-INDEX($N$9:$N$47,MATCH($H24,$A$9:$A$47,0)))/INDEX($N$9:$N$47,MATCH($H24,$A$9:$A$47,0)),"")</f>
        <v>-0.036736890136226287661714933432301064214187694340239</v>
      </c>
      <c r="Q24" s="18">
        <v>0.06542345136404037</v>
      </c>
      <c r="R24" s="19">
        <f>IFERROR(Q24-INDEX($Q$9:$Q$47,MATCH($H24,$A$9:$A$47,0)),"")</f>
        <v>-0.00041211396455765</v>
      </c>
      <c r="S24" s="20">
        <f>IFERROR((Q24-INDEX($Q$9:$Q$47,MATCH($H24,$A$9:$A$47,0)))/INDEX($Q$9:$Q$47,MATCH($H24,$A$9:$A$47,0)),"")</f>
        <v>-0.0062597467265711112215297531570594365143144156062241</v>
      </c>
      <c r="T24" s="18">
        <v>0.034031182527542114</v>
      </c>
      <c r="U24" s="19">
        <f>IFERROR(T24-INDEX($T$9:$T$47,MATCH($H24,$A$9:$A$47,0)),"")</f>
        <v>-0.000571753829717636</v>
      </c>
      <c r="V24" s="20">
        <f>IFERROR((T24-INDEX($T$9:$T$47,MATCH($H24,$A$9:$A$47,0)))/INDEX($T$9:$T$47,MATCH($H24,$A$9:$A$47,0)),"")</f>
        <v>-0.016523274898249528325287139590987245461159551124723</v>
      </c>
      <c r="W24" s="16" t="inlineStr">
        <is>
          <t xml:space="preserve">Qwen2.5-7B-Instruct / 3584维</t>
        </is>
      </c>
      <c r="X24" s="16" t="inlineStr">
        <is>
          <t xml:space="preserve">R-Kmeans</t>
        </is>
      </c>
      <c r="Y24" s="16" t="inlineStr">
        <is>
          <t xml:space="preserve">共享</t>
        </is>
      </c>
      <c r="Z24" s="16" t="inlineStr">
        <is>
          <t xml:space="preserve">step 6200 / f778135f116c</t>
        </is>
      </c>
      <c r="AA24" s="17">
        <v>63</v>
      </c>
      <c r="AB24" s="17">
        <v>0</v>
      </c>
      <c r="AC24" s="16" t="inlineStr">
        <is>
          <t xml:space="preserve">gs-20261017-toys-b-shuffle3-v1</t>
        </is>
      </c>
      <c r="AD24" s="16" t="inlineStr">
        <is>
          <t xml:space="preserve">c8acac42d5e13ca80af75faac5d1f7bc33fb589f</t>
        </is>
      </c>
      <c r="AE24" s="16" t="inlineStr">
        <is>
          <t xml:space="preserve">原始结果 ↗</t>
        </is>
      </c>
      <c r="AF24" s="16" t="inlineStr">
        <is>
          <t xml:space="preserve">SID c6d516be6b65
CFG 38edf61240a1</t>
        </is>
      </c>
      <c r="AG24" s="16" t="inlineStr">
        <is>
          <t xml:space="preserve">B类适配；不是学长双表完整生成器。</t>
        </is>
      </c>
    </row>
    <row r="25" ht="84" customHeight="1">
      <c r="A25" s="16" t="inlineStr">
        <is>
          <t xml:space="preserve">Toys.B.Shuffle4</t>
        </is>
      </c>
      <c r="B25" s="16" t="inlineStr">
        <is>
          <t xml:space="preserve">Toys.B.Shuffle4</t>
        </is>
      </c>
      <c r="C25" s="16" t="inlineStr">
        <is>
          <t xml:space="preserve">Toys</t>
        </is>
      </c>
      <c r="D25" s="16" t="inlineStr">
        <is>
          <t xml:space="preserve">Shuffle</t>
        </is>
      </c>
      <c r="E25" s="16" t="inlineStr">
        <is>
          <t xml:space="preserve">B</t>
        </is>
      </c>
      <c r="F25" s="16" t="inlineStr">
        <is>
          <t xml:space="preserve">Shuffle4</t>
        </is>
      </c>
      <c r="G25" s="17">
        <v>19412</v>
      </c>
      <c r="H25" s="16" t="inlineStr">
        <is>
          <t xml:space="preserve">Toys.B.Normal</t>
        </is>
      </c>
      <c r="I25" s="16" t="inlineStr">
        <is>
          <t xml:space="preserve">Toys-B-Normal</t>
        </is>
      </c>
      <c r="J25" s="16" t="inlineStr">
        <is>
          <t xml:space="preserve">同checkpoint/SID测试时扰动</t>
        </is>
      </c>
      <c r="K25" s="18">
        <v>0.039820730686187744</v>
      </c>
      <c r="L25" s="19">
        <f>IFERROR(K25-INDEX($K$9:$K$47,MATCH($H25,$A$9:$A$47,0)),"")</f>
        <v>-0.002266637980937956</v>
      </c>
      <c r="M25" s="20">
        <f>IFERROR((K25-INDEX($K$9:$K$47,MATCH($H25,$A$9:$A$47,0)))/INDEX($K$9:$K$47,MATCH($H25,$A$9:$A$47,0)),"")</f>
        <v>-0.053855540337175300524463578119374638076857431681873</v>
      </c>
      <c r="N25" s="18">
        <v>0.025698222219944</v>
      </c>
      <c r="O25" s="19">
        <f>IFERROR(N25-INDEX($N$9:$N$47,MATCH($H25,$A$9:$A$47,0)),"")</f>
        <v>-0.0012886393815279</v>
      </c>
      <c r="P25" s="20">
        <f>IFERROR((N25-INDEX($N$9:$N$47,MATCH($H25,$A$9:$A$47,0)))/INDEX($N$9:$N$47,MATCH($H25,$A$9:$A$47,0)),"")</f>
        <v>-0.047750620303978431562956329334066936440404277178098</v>
      </c>
      <c r="Q25" s="18">
        <v>0.06516587734222412</v>
      </c>
      <c r="R25" s="19">
        <f>IFERROR(Q25-INDEX($Q$9:$Q$47,MATCH($H25,$A$9:$A$47,0)),"")</f>
        <v>-0.00066968798637390</v>
      </c>
      <c r="S25" s="20">
        <f>IFERROR((Q25-INDEX($Q$9:$Q$47,MATCH($H25,$A$9:$A$47,0)))/INDEX($Q$9:$Q$47,MATCH($H25,$A$9:$A$47,0)),"")</f>
        <v>-0.010172130869255210875487418261427054273525678579457</v>
      </c>
      <c r="T25" s="18">
        <v>0.03385324403643608</v>
      </c>
      <c r="U25" s="19">
        <f>IFERROR(T25-INDEX($T$9:$T$47,MATCH($H25,$A$9:$A$47,0)),"")</f>
        <v>-0.00074969232082367</v>
      </c>
      <c r="V25" s="20">
        <f>IFERROR((T25-INDEX($T$9:$T$47,MATCH($H25,$A$9:$A$47,0)))/INDEX($T$9:$T$47,MATCH($H25,$A$9:$A$47,0)),"")</f>
        <v>-0.021665569450044183379976125630367733862994486711765</v>
      </c>
      <c r="W25" s="16" t="inlineStr">
        <is>
          <t xml:space="preserve">Qwen2.5-7B-Instruct / 3584维</t>
        </is>
      </c>
      <c r="X25" s="16" t="inlineStr">
        <is>
          <t xml:space="preserve">R-Kmeans</t>
        </is>
      </c>
      <c r="Y25" s="16" t="inlineStr">
        <is>
          <t xml:space="preserve">共享</t>
        </is>
      </c>
      <c r="Z25" s="16" t="inlineStr">
        <is>
          <t xml:space="preserve">step 6200 / f778135f116c</t>
        </is>
      </c>
      <c r="AA25" s="17">
        <v>66</v>
      </c>
      <c r="AB25" s="17">
        <v>0</v>
      </c>
      <c r="AC25" s="16" t="inlineStr">
        <is>
          <t xml:space="preserve">gs-20261017-toys-b-shuffle4-v1</t>
        </is>
      </c>
      <c r="AD25" s="16" t="inlineStr">
        <is>
          <t xml:space="preserve">c8acac42d5e13ca80af75faac5d1f7bc33fb589f</t>
        </is>
      </c>
      <c r="AE25" s="16" t="inlineStr">
        <is>
          <t xml:space="preserve">原始结果 ↗</t>
        </is>
      </c>
      <c r="AF25" s="16" t="inlineStr">
        <is>
          <t xml:space="preserve">SID c6d516be6b65
CFG 38edf61240a1</t>
        </is>
      </c>
      <c r="AG25" s="16" t="inlineStr">
        <is>
          <t xml:space="preserve">B类适配；不是学长双表完整生成器。</t>
        </is>
      </c>
    </row>
    <row r="26" ht="84" customHeight="1">
      <c r="A26" s="11" t="inlineStr">
        <is>
          <t xml:space="preserve">Toys.A-5300.Normal</t>
        </is>
      </c>
      <c r="B26" s="11" t="inlineStr">
        <is>
          <t xml:space="preserve">Toys.A-5300.Normal</t>
        </is>
      </c>
      <c r="C26" s="11" t="inlineStr">
        <is>
          <t xml:space="preserve">Toys</t>
        </is>
      </c>
      <c r="D26" s="11" t="inlineStr">
        <is>
          <t xml:space="preserve">Baseline</t>
        </is>
      </c>
      <c r="E26" s="11" t="inlineStr">
        <is>
          <t xml:space="preserve">A-5300</t>
        </is>
      </c>
      <c r="F26" s="11" t="inlineStr">
        <is>
          <t xml:space="preserve">Normal</t>
        </is>
      </c>
      <c r="G26" s="12">
        <v>19412</v>
      </c>
      <c r="H26" s="11" t="inlineStr">
        <is>
          <t xml:space="preserve">Toys.Paper.RK-Means</t>
        </is>
      </c>
      <c r="I26" s="11" t="inlineStr">
        <is>
          <t xml:space="preserve">本域论文 RK-Means</t>
        </is>
      </c>
      <c r="J26" s="11" t="inlineStr">
        <is>
          <t xml:space="preserve">论文参考；非严格同配置复现</t>
        </is>
      </c>
      <c r="K26" s="13">
        <v>0.0400783009827137</v>
      </c>
      <c r="L26" s="14">
        <f>IFERROR(K26-INDEX($K$9:$K$47,MATCH($H26,$A$9:$A$47,0)),"")</f>
        <v>0.0024783009827137</v>
      </c>
      <c r="M26" s="15">
        <f>IFERROR((K26-INDEX($K$9:$K$47,MATCH($H26,$A$9:$A$47,0)))/INDEX($K$9:$K$47,MATCH($H26,$A$9:$A$47,0)),"")</f>
        <v>0.065912260178555851063829787234042553191489361702128</v>
      </c>
      <c r="N26" s="13">
        <v>0.027255861088633537</v>
      </c>
      <c r="O26" s="14">
        <f>IFERROR(N26-INDEX($N$9:$N$47,MATCH($H26,$A$9:$A$47,0)),"")</f>
        <v>0.002955861088633537</v>
      </c>
      <c r="P26" s="15">
        <f>IFERROR((N26-INDEX($N$9:$N$47,MATCH($H26,$A$9:$A$47,0)))/INDEX($N$9:$N$47,MATCH($H26,$A$9:$A$47,0)),"")</f>
        <v>0.12164037401784102880658436213991769547325102880658</v>
      </c>
      <c r="Q26" s="13">
        <v>0.06130228564143181</v>
      </c>
      <c r="R26" s="14">
        <f>IFERROR(Q26-INDEX($Q$9:$Q$47,MATCH($H26,$A$9:$A$47,0)),"")</f>
        <v>0.00360228564143181</v>
      </c>
      <c r="S26" s="15">
        <f>IFERROR((Q26-INDEX($Q$9:$Q$47,MATCH($H26,$A$9:$A$47,0)))/INDEX($Q$9:$Q$47,MATCH($H26,$A$9:$A$47,0)),"")</f>
        <v>0.062431293612336395147313691507798960138648180242634</v>
      </c>
      <c r="T26" s="13">
        <v>0.034059926867485046</v>
      </c>
      <c r="U26" s="14">
        <f>IFERROR(T26-INDEX($T$9:$T$47,MATCH($H26,$A$9:$A$47,0)),"")</f>
        <v>0.003259926867485046</v>
      </c>
      <c r="V26" s="15">
        <f>IFERROR((T26-INDEX($T$9:$T$47,MATCH($H26,$A$9:$A$47,0)))/INDEX($T$9:$T$47,MATCH($H26,$A$9:$A$47,0)),"")</f>
        <v>0.10584178141185214285714285714285714285714285714286</v>
      </c>
      <c r="W26" s="11" t="inlineStr">
        <is>
          <t xml:space="preserve">历史producer未唯一确定</t>
        </is>
      </c>
      <c r="X26" s="11" t="inlineStr">
        <is>
          <t xml:space="preserve">R-Kmeans（配置支持）</t>
        </is>
      </c>
      <c r="Y26" s="11" t="inlineStr">
        <is>
          <t xml:space="preserve">双独立</t>
        </is>
      </c>
      <c r="Z26" s="11" t="inlineStr">
        <is>
          <t xml:space="preserve">step 5300 / 5e88fac352f6</t>
        </is>
      </c>
      <c r="AA26" s="12">
        <v>175</v>
      </c>
      <c r="AB26" s="12">
        <v>0</v>
      </c>
      <c r="AC26" s="11" t="inlineStr">
        <is>
          <t xml:space="preserve">ga-20261017-toys5300-eval-0-v1</t>
        </is>
      </c>
      <c r="AD26" s="11" t="inlineStr">
        <is>
          <t xml:space="preserve">b44399926c98369191c2ff5c2425377c8c07d3c8</t>
        </is>
      </c>
      <c r="AE26" s="11" t="inlineStr">
        <is>
          <t xml:space="preserve">原始结果 ↗</t>
        </is>
      </c>
      <c r="AF26" s="11" t="inlineStr">
        <is>
          <t xml:space="preserve">SID a487a4bdadef
CFG b7008a5f603b</t>
        </is>
      </c>
      <c r="AG26" s="11" t="inlineStr">
        <is>
          <t xml:space="preserve">量化保存配置支持R-Kmeans；T5 factory/Qwen路径/维度冲突；保留候选。</t>
        </is>
      </c>
    </row>
    <row r="27" ht="84" customHeight="1">
      <c r="A27" s="16" t="inlineStr">
        <is>
          <t xml:space="preserve">Toys.A-5300.Shuffle3</t>
        </is>
      </c>
      <c r="B27" s="16" t="inlineStr">
        <is>
          <t xml:space="preserve">Toys.A-5300.Shuffle3</t>
        </is>
      </c>
      <c r="C27" s="16" t="inlineStr">
        <is>
          <t xml:space="preserve">Toys</t>
        </is>
      </c>
      <c r="D27" s="16" t="inlineStr">
        <is>
          <t xml:space="preserve">Shuffle</t>
        </is>
      </c>
      <c r="E27" s="16" t="inlineStr">
        <is>
          <t xml:space="preserve">A-5300</t>
        </is>
      </c>
      <c r="F27" s="16" t="inlineStr">
        <is>
          <t xml:space="preserve">Shuffle3</t>
        </is>
      </c>
      <c r="G27" s="17">
        <v>19412</v>
      </c>
      <c r="H27" s="16" t="inlineStr">
        <is>
          <t xml:space="preserve">Toys.A-5300.Normal</t>
        </is>
      </c>
      <c r="I27" s="16" t="inlineStr">
        <is>
          <t xml:space="preserve">Toys-A-5300-Normal</t>
        </is>
      </c>
      <c r="J27" s="16" t="inlineStr">
        <is>
          <t xml:space="preserve">同checkpoint/SID测试时扰动</t>
        </is>
      </c>
      <c r="K27" s="18">
        <v>0.04023284465074539</v>
      </c>
      <c r="L27" s="19">
        <f>IFERROR(K27-INDEX($K$9:$K$47,MATCH($H27,$A$9:$A$47,0)),"")</f>
        <v>0.00015454366803169</v>
      </c>
      <c r="M27" s="20">
        <f>IFERROR((K27-INDEX($K$9:$K$47,MATCH($H27,$A$9:$A$47,0)))/INDEX($K$9:$K$47,MATCH($H27,$A$9:$A$47,0)),"")</f>
        <v>0.0038560434010999299357633378433029330999008039897903</v>
      </c>
      <c r="N27" s="18">
        <v>0.026425955817103386</v>
      </c>
      <c r="O27" s="19">
        <f>IFERROR(N27-INDEX($N$9:$N$47,MATCH($H27,$A$9:$A$47,0)),"")</f>
        <v>-0.000829905271530151</v>
      </c>
      <c r="P27" s="20">
        <f>IFERROR((N27-INDEX($N$9:$N$47,MATCH($H27,$A$9:$A$47,0)))/INDEX($N$9:$N$47,MATCH($H27,$A$9:$A$47,0)),"")</f>
        <v>-0.030448690240655978064801528886657636380221544993977</v>
      </c>
      <c r="Q27" s="18">
        <v>0.06027199700474739</v>
      </c>
      <c r="R27" s="19">
        <f>IFERROR(Q27-INDEX($Q$9:$Q$47,MATCH($H27,$A$9:$A$47,0)),"")</f>
        <v>-0.00103028863668442</v>
      </c>
      <c r="S27" s="20">
        <f>IFERROR((Q27-INDEX($Q$9:$Q$47,MATCH($H27,$A$9:$A$47,0)))/INDEX($Q$9:$Q$47,MATCH($H27,$A$9:$A$47,0)),"")</f>
        <v>-0.016806692049147484450256953588676625912543983249956</v>
      </c>
      <c r="T27" s="18">
        <v>0.032848287373781204</v>
      </c>
      <c r="U27" s="19">
        <f>IFERROR(T27-INDEX($T$9:$T$47,MATCH($H27,$A$9:$A$47,0)),"")</f>
        <v>-0.001211639493703842</v>
      </c>
      <c r="V27" s="20">
        <f>IFERROR((T27-INDEX($T$9:$T$47,MATCH($H27,$A$9:$A$47,0)))/INDEX($T$9:$T$47,MATCH($H27,$A$9:$A$47,0)),"")</f>
        <v>-0.035573755000059057890526190900127743166497288142520</v>
      </c>
      <c r="W27" s="16" t="inlineStr">
        <is>
          <t xml:space="preserve">历史producer未唯一确定</t>
        </is>
      </c>
      <c r="X27" s="16" t="inlineStr">
        <is>
          <t xml:space="preserve">R-Kmeans（配置支持）</t>
        </is>
      </c>
      <c r="Y27" s="16" t="inlineStr">
        <is>
          <t xml:space="preserve">双独立</t>
        </is>
      </c>
      <c r="Z27" s="16" t="inlineStr">
        <is>
          <t xml:space="preserve">step 5300 / 5e88fac352f6</t>
        </is>
      </c>
      <c r="AA27" s="17">
        <v>194</v>
      </c>
      <c r="AB27" s="17">
        <v>0</v>
      </c>
      <c r="AC27" s="16" t="inlineStr">
        <is>
          <t xml:space="preserve">ga-20261017-toys5300-eval-3-v1</t>
        </is>
      </c>
      <c r="AD27" s="16" t="inlineStr">
        <is>
          <t xml:space="preserve">b44399926c98369191c2ff5c2425377c8c07d3c8</t>
        </is>
      </c>
      <c r="AE27" s="16" t="inlineStr">
        <is>
          <t xml:space="preserve">原始结果 ↗</t>
        </is>
      </c>
      <c r="AF27" s="16" t="inlineStr">
        <is>
          <t xml:space="preserve">SID a487a4bdadef
CFG b7008a5f603b</t>
        </is>
      </c>
      <c r="AG27" s="16" t="inlineStr">
        <is>
          <t xml:space="preserve">量化保存配置支持R-Kmeans；T5 factory/Qwen路径/维度冲突；保留候选。</t>
        </is>
      </c>
    </row>
    <row r="28" ht="84" customHeight="1">
      <c r="A28" s="16" t="inlineStr">
        <is>
          <t xml:space="preserve">Toys.A-5300.Shuffle4</t>
        </is>
      </c>
      <c r="B28" s="16" t="inlineStr">
        <is>
          <t xml:space="preserve">Toys.A-5300.Shuffle4</t>
        </is>
      </c>
      <c r="C28" s="16" t="inlineStr">
        <is>
          <t xml:space="preserve">Toys</t>
        </is>
      </c>
      <c r="D28" s="16" t="inlineStr">
        <is>
          <t xml:space="preserve">Shuffle</t>
        </is>
      </c>
      <c r="E28" s="16" t="inlineStr">
        <is>
          <t xml:space="preserve">A-5300</t>
        </is>
      </c>
      <c r="F28" s="16" t="inlineStr">
        <is>
          <t xml:space="preserve">Shuffle4</t>
        </is>
      </c>
      <c r="G28" s="17">
        <v>19412</v>
      </c>
      <c r="H28" s="16" t="inlineStr">
        <is>
          <t xml:space="preserve">Toys.A-5300.Normal</t>
        </is>
      </c>
      <c r="I28" s="16" t="inlineStr">
        <is>
          <t xml:space="preserve">Toys-A-5300-Normal</t>
        </is>
      </c>
      <c r="J28" s="16" t="inlineStr">
        <is>
          <t xml:space="preserve">同checkpoint/SID测试时扰动</t>
        </is>
      </c>
      <c r="K28" s="18">
        <v>0.04012981802225113</v>
      </c>
      <c r="L28" s="19">
        <f>IFERROR(K28-INDEX($K$9:$K$47,MATCH($H28,$A$9:$A$47,0)),"")</f>
        <v>0.00005151703953743</v>
      </c>
      <c r="M28" s="20">
        <f>IFERROR((K28-INDEX($K$9:$K$47,MATCH($H28,$A$9:$A$47,0)))/INDEX($K$9:$K$47,MATCH($H28,$A$9:$A$47,0)),"")</f>
        <v>0.0012854097672366395686130188646199155997026732004219</v>
      </c>
      <c r="N28" s="18">
        <v>0.02640373632311821</v>
      </c>
      <c r="O28" s="19">
        <f>IFERROR(N28-INDEX($N$9:$N$47,MATCH($H28,$A$9:$A$47,0)),"")</f>
        <v>-0.000852124765515327</v>
      </c>
      <c r="P28" s="20">
        <f>IFERROR((N28-INDEX($N$9:$N$47,MATCH($H28,$A$9:$A$47,0)))/INDEX($N$9:$N$47,MATCH($H28,$A$9:$A$47,0)),"")</f>
        <v>-0.031263909173307574085551864236026067047274964214151</v>
      </c>
      <c r="Q28" s="18">
        <v>0.059859879314899445</v>
      </c>
      <c r="R28" s="19">
        <f>IFERROR(Q28-INDEX($Q$9:$Q$47,MATCH($H28,$A$9:$A$47,0)),"")</f>
        <v>-0.001442406326532365</v>
      </c>
      <c r="S28" s="20">
        <f>IFERROR((Q28-INDEX($Q$9:$Q$47,MATCH($H28,$A$9:$A$47,0)))/INDEX($Q$9:$Q$47,MATCH($H28,$A$9:$A$47,0)),"")</f>
        <v>-0.023529405330320981522117241490945774015692132214380</v>
      </c>
      <c r="T28" s="18">
        <v>0.03273894637823105</v>
      </c>
      <c r="U28" s="19">
        <f>IFERROR(T28-INDEX($T$9:$T$47,MATCH($H28,$A$9:$A$47,0)),"")</f>
        <v>-0.001320980489253996</v>
      </c>
      <c r="V28" s="20">
        <f>IFERROR((T28-INDEX($T$9:$T$47,MATCH($H28,$A$9:$A$47,0)))/INDEX($T$9:$T$47,MATCH($H28,$A$9:$A$47,0)),"")</f>
        <v>-0.038784008385967976008937440949226009094629032257713</v>
      </c>
      <c r="W28" s="16" t="inlineStr">
        <is>
          <t xml:space="preserve">历史producer未唯一确定</t>
        </is>
      </c>
      <c r="X28" s="16" t="inlineStr">
        <is>
          <t xml:space="preserve">R-Kmeans（配置支持）</t>
        </is>
      </c>
      <c r="Y28" s="16" t="inlineStr">
        <is>
          <t xml:space="preserve">双独立</t>
        </is>
      </c>
      <c r="Z28" s="16" t="inlineStr">
        <is>
          <t xml:space="preserve">step 5300 / 5e88fac352f6</t>
        </is>
      </c>
      <c r="AA28" s="17">
        <v>221</v>
      </c>
      <c r="AB28" s="17">
        <v>0</v>
      </c>
      <c r="AC28" s="16" t="inlineStr">
        <is>
          <t xml:space="preserve">ga-20261017-toys5300-eval-4-v1</t>
        </is>
      </c>
      <c r="AD28" s="16" t="inlineStr">
        <is>
          <t xml:space="preserve">b44399926c98369191c2ff5c2425377c8c07d3c8</t>
        </is>
      </c>
      <c r="AE28" s="16" t="inlineStr">
        <is>
          <t xml:space="preserve">原始结果 ↗</t>
        </is>
      </c>
      <c r="AF28" s="16" t="inlineStr">
        <is>
          <t xml:space="preserve">SID a487a4bdadef
CFG b7008a5f603b</t>
        </is>
      </c>
      <c r="AG28" s="16" t="inlineStr">
        <is>
          <t xml:space="preserve">量化保存配置支持R-Kmeans；T5 factory/Qwen路径/维度冲突；保留候选。</t>
        </is>
      </c>
    </row>
    <row r="29" ht="84" customHeight="1">
      <c r="A29" s="11" t="inlineStr">
        <is>
          <t xml:space="preserve">Toys.A-5000.Normal</t>
        </is>
      </c>
      <c r="B29" s="11" t="inlineStr">
        <is>
          <t xml:space="preserve">Toys.A-5000.Normal</t>
        </is>
      </c>
      <c r="C29" s="11" t="inlineStr">
        <is>
          <t xml:space="preserve">Toys</t>
        </is>
      </c>
      <c r="D29" s="11" t="inlineStr">
        <is>
          <t xml:space="preserve">Baseline</t>
        </is>
      </c>
      <c r="E29" s="11" t="inlineStr">
        <is>
          <t xml:space="preserve">A-5000</t>
        </is>
      </c>
      <c r="F29" s="11" t="inlineStr">
        <is>
          <t xml:space="preserve">Normal</t>
        </is>
      </c>
      <c r="G29" s="12">
        <v>19412</v>
      </c>
      <c r="H29" s="11" t="inlineStr">
        <is>
          <t xml:space="preserve">Toys.Paper.RK-Means</t>
        </is>
      </c>
      <c r="I29" s="11" t="inlineStr">
        <is>
          <t xml:space="preserve">本域论文 RK-Means</t>
        </is>
      </c>
      <c r="J29" s="11" t="inlineStr">
        <is>
          <t xml:space="preserve">论文参考；非严格同配置复现</t>
        </is>
      </c>
      <c r="K29" s="13">
        <v>0.04064496234059334</v>
      </c>
      <c r="L29" s="14">
        <f>IFERROR(K29-INDEX($K$9:$K$47,MATCH($H29,$A$9:$A$47,0)),"")</f>
        <v>0.00304496234059334</v>
      </c>
      <c r="M29" s="15">
        <f>IFERROR((K29-INDEX($K$9:$K$47,MATCH($H29,$A$9:$A$47,0)))/INDEX($K$9:$K$47,MATCH($H29,$A$9:$A$47,0)),"")</f>
        <v>0.080983040973227127659574468085106382978723404255319</v>
      </c>
      <c r="N29" s="13">
        <v>0.026936978101730347</v>
      </c>
      <c r="O29" s="14">
        <f>IFERROR(N29-INDEX($N$9:$N$47,MATCH($H29,$A$9:$A$47,0)),"")</f>
        <v>0.002636978101730347</v>
      </c>
      <c r="P29" s="15">
        <f>IFERROR((N29-INDEX($N$9:$N$47,MATCH($H29,$A$9:$A$47,0)))/INDEX($N$9:$N$47,MATCH($H29,$A$9:$A$47,0)),"")</f>
        <v>0.10851761735515831275720164609053497942386831275720</v>
      </c>
      <c r="Q29" s="13">
        <v>0.059859879314899445</v>
      </c>
      <c r="R29" s="14">
        <f>IFERROR(Q29-INDEX($Q$9:$Q$47,MATCH($H29,$A$9:$A$47,0)),"")</f>
        <v>0.002159879314899445</v>
      </c>
      <c r="S29" s="15">
        <f>IFERROR((Q29-INDEX($Q$9:$Q$47,MATCH($H29,$A$9:$A$47,0)))/INDEX($Q$9:$Q$47,MATCH($H29,$A$9:$A$47,0)),"")</f>
        <v>0.037432917069314471403812824956672443674176776429809</v>
      </c>
      <c r="T29" s="13">
        <v>0.033158622682094574</v>
      </c>
      <c r="U29" s="14">
        <f>IFERROR(T29-INDEX($T$9:$T$47,MATCH($H29,$A$9:$A$47,0)),"")</f>
        <v>0.002358622682094574</v>
      </c>
      <c r="V29" s="15">
        <f>IFERROR((T29-INDEX($T$9:$T$47,MATCH($H29,$A$9:$A$47,0)))/INDEX($T$9:$T$47,MATCH($H29,$A$9:$A$47,0)),"")</f>
        <v>0.076578658509564090909090909090909090909090909090909</v>
      </c>
      <c r="W29" s="11" t="inlineStr">
        <is>
          <t xml:space="preserve">历史producer未唯一确定</t>
        </is>
      </c>
      <c r="X29" s="11" t="inlineStr">
        <is>
          <t xml:space="preserve">R-Kmeans（配置支持）</t>
        </is>
      </c>
      <c r="Y29" s="11" t="inlineStr">
        <is>
          <t xml:space="preserve">双独立</t>
        </is>
      </c>
      <c r="Z29" s="11" t="inlineStr">
        <is>
          <t xml:space="preserve">step 5000 / ed627a41aae7</t>
        </is>
      </c>
      <c r="AA29" s="12">
        <v>157</v>
      </c>
      <c r="AB29" s="12">
        <v>0</v>
      </c>
      <c r="AC29" s="11" t="inlineStr">
        <is>
          <t xml:space="preserve">ga-20261017-toys5000-eval-0-v1</t>
        </is>
      </c>
      <c r="AD29" s="11" t="inlineStr">
        <is>
          <t xml:space="preserve">b44399926c98369191c2ff5c2425377c8c07d3c8</t>
        </is>
      </c>
      <c r="AE29" s="11" t="inlineStr">
        <is>
          <t xml:space="preserve">原始结果 ↗</t>
        </is>
      </c>
      <c r="AF29" s="11" t="inlineStr">
        <is>
          <t xml:space="preserve">SID a487a4bdadef
CFG f14ab2ee7c5f</t>
        </is>
      </c>
      <c r="AG29" s="11" t="inlineStr">
        <is>
          <t xml:space="preserve">与A-5300同SID、不同checkpoint；不按test分数删除任一候选。</t>
        </is>
      </c>
    </row>
    <row r="30" ht="84" customHeight="1">
      <c r="A30" s="16" t="inlineStr">
        <is>
          <t xml:space="preserve">Toys.A-5000.Shuffle3</t>
        </is>
      </c>
      <c r="B30" s="16" t="inlineStr">
        <is>
          <t xml:space="preserve">Toys.A-5000.Shuffle3</t>
        </is>
      </c>
      <c r="C30" s="16" t="inlineStr">
        <is>
          <t xml:space="preserve">Toys</t>
        </is>
      </c>
      <c r="D30" s="16" t="inlineStr">
        <is>
          <t xml:space="preserve">Shuffle</t>
        </is>
      </c>
      <c r="E30" s="16" t="inlineStr">
        <is>
          <t xml:space="preserve">A-5000</t>
        </is>
      </c>
      <c r="F30" s="16" t="inlineStr">
        <is>
          <t xml:space="preserve">Shuffle3</t>
        </is>
      </c>
      <c r="G30" s="17">
        <v>19412</v>
      </c>
      <c r="H30" s="16" t="inlineStr">
        <is>
          <t xml:space="preserve">Toys.A-5000.Normal</t>
        </is>
      </c>
      <c r="I30" s="16" t="inlineStr">
        <is>
          <t xml:space="preserve">Toys-A-5000-Normal</t>
        </is>
      </c>
      <c r="J30" s="16" t="inlineStr">
        <is>
          <t xml:space="preserve">同checkpoint/SID测试时扰动</t>
        </is>
      </c>
      <c r="K30" s="18">
        <v>0.039820730686187744</v>
      </c>
      <c r="L30" s="19">
        <f>IFERROR(K30-INDEX($K$9:$K$47,MATCH($H30,$A$9:$A$47,0)),"")</f>
        <v>-0.000824231654405596</v>
      </c>
      <c r="M30" s="20">
        <f>IFERROR((K30-INDEX($K$9:$K$47,MATCH($H30,$A$9:$A$47,0)))/INDEX($K$9:$K$47,MATCH($H30,$A$9:$A$47,0)),"")</f>
        <v>-0.020278814567442991218295058594721207704123268689953</v>
      </c>
      <c r="N30" s="18">
        <v>0.026538845151662827</v>
      </c>
      <c r="O30" s="19">
        <f>IFERROR(N30-INDEX($N$9:$N$47,MATCH($H30,$A$9:$A$47,0)),"")</f>
        <v>-0.000398132950067520</v>
      </c>
      <c r="P30" s="20">
        <f>IFERROR((N30-INDEX($N$9:$N$47,MATCH($H30,$A$9:$A$47,0)))/INDEX($N$9:$N$47,MATCH($H30,$A$9:$A$47,0)),"")</f>
        <v>-0.014780163853715468841555578932457194545551473377397</v>
      </c>
      <c r="Q30" s="18">
        <v>0.05939624831080437</v>
      </c>
      <c r="R30" s="19">
        <f>IFERROR(Q30-INDEX($Q$9:$Q$47,MATCH($H30,$A$9:$A$47,0)),"")</f>
        <v>-0.000463631004095075</v>
      </c>
      <c r="S30" s="20">
        <f>IFERROR((Q30-INDEX($Q$9:$Q$47,MATCH($H30,$A$9:$A$47,0)))/INDEX($Q$9:$Q$47,MATCH($H30,$A$9:$A$47,0)),"")</f>
        <v>-0.0077452712802191493318011952052840397408654103400967</v>
      </c>
      <c r="T30" s="18">
        <v>0.03283083066344261</v>
      </c>
      <c r="U30" s="19">
        <f>IFERROR(T30-INDEX($T$9:$T$47,MATCH($H30,$A$9:$A$47,0)),"")</f>
        <v>-0.000327792018651964</v>
      </c>
      <c r="V30" s="20">
        <f>IFERROR((T30-INDEX($T$9:$T$47,MATCH($H30,$A$9:$A$47,0)))/INDEX($T$9:$T$47,MATCH($H30,$A$9:$A$47,0)),"")</f>
        <v>-0.0098855740117628412212411549601752043909215224809841</v>
      </c>
      <c r="W30" s="16" t="inlineStr">
        <is>
          <t xml:space="preserve">历史producer未唯一确定</t>
        </is>
      </c>
      <c r="X30" s="16" t="inlineStr">
        <is>
          <t xml:space="preserve">R-Kmeans（配置支持）</t>
        </is>
      </c>
      <c r="Y30" s="16" t="inlineStr">
        <is>
          <t xml:space="preserve">双独立</t>
        </is>
      </c>
      <c r="Z30" s="16" t="inlineStr">
        <is>
          <t xml:space="preserve">step 5000 / ed627a41aae7</t>
        </is>
      </c>
      <c r="AA30" s="17">
        <v>140</v>
      </c>
      <c r="AB30" s="17">
        <v>0</v>
      </c>
      <c r="AC30" s="16" t="inlineStr">
        <is>
          <t xml:space="preserve">ga-20261017-toys5000-eval-3-v1</t>
        </is>
      </c>
      <c r="AD30" s="16" t="inlineStr">
        <is>
          <t xml:space="preserve">b44399926c98369191c2ff5c2425377c8c07d3c8</t>
        </is>
      </c>
      <c r="AE30" s="16" t="inlineStr">
        <is>
          <t xml:space="preserve">原始结果 ↗</t>
        </is>
      </c>
      <c r="AF30" s="16" t="inlineStr">
        <is>
          <t xml:space="preserve">SID a487a4bdadef
CFG f14ab2ee7c5f</t>
        </is>
      </c>
      <c r="AG30" s="16" t="inlineStr">
        <is>
          <t xml:space="preserve">与A-5300同SID、不同checkpoint；不按test分数删除任一候选。</t>
        </is>
      </c>
    </row>
    <row r="31" ht="84" customHeight="1">
      <c r="A31" s="16" t="inlineStr">
        <is>
          <t xml:space="preserve">Toys.A-5000.Shuffle4</t>
        </is>
      </c>
      <c r="B31" s="16" t="inlineStr">
        <is>
          <t xml:space="preserve">Toys.A-5000.Shuffle4</t>
        </is>
      </c>
      <c r="C31" s="16" t="inlineStr">
        <is>
          <t xml:space="preserve">Toys</t>
        </is>
      </c>
      <c r="D31" s="16" t="inlineStr">
        <is>
          <t xml:space="preserve">Shuffle</t>
        </is>
      </c>
      <c r="E31" s="16" t="inlineStr">
        <is>
          <t xml:space="preserve">A-5000</t>
        </is>
      </c>
      <c r="F31" s="16" t="inlineStr">
        <is>
          <t xml:space="preserve">Shuffle4</t>
        </is>
      </c>
      <c r="G31" s="17">
        <v>19412</v>
      </c>
      <c r="H31" s="16" t="inlineStr">
        <is>
          <t xml:space="preserve">Toys.A-5000.Normal</t>
        </is>
      </c>
      <c r="I31" s="16" t="inlineStr">
        <is>
          <t xml:space="preserve">Toys-A-5000-Normal</t>
        </is>
      </c>
      <c r="J31" s="16" t="inlineStr">
        <is>
          <t xml:space="preserve">同checkpoint/SID测试时扰动</t>
        </is>
      </c>
      <c r="K31" s="18">
        <v>0.03884195163846016</v>
      </c>
      <c r="L31" s="19">
        <f>IFERROR(K31-INDEX($K$9:$K$47,MATCH($H31,$A$9:$A$47,0)),"")</f>
        <v>-0.00180301070213318</v>
      </c>
      <c r="M31" s="20">
        <f>IFERROR((K31-INDEX($K$9:$K$47,MATCH($H31,$A$9:$A$47,0)))/INDEX($K$9:$K$47,MATCH($H31,$A$9:$A$47,0)),"")</f>
        <v>-0.044360004249098768757251104308578198814725441605988</v>
      </c>
      <c r="N31" s="18">
        <v>0.026054665446281433</v>
      </c>
      <c r="O31" s="19">
        <f>IFERROR(N31-INDEX($N$9:$N$47,MATCH($H31,$A$9:$A$47,0)),"")</f>
        <v>-0.000882312655448914</v>
      </c>
      <c r="P31" s="20">
        <f>IFERROR((N31-INDEX($N$9:$N$47,MATCH($H31,$A$9:$A$47,0)))/INDEX($N$9:$N$47,MATCH($H31,$A$9:$A$47,0)),"")</f>
        <v>-0.032754700698674028394823972143671955699927367222773</v>
      </c>
      <c r="Q31" s="18">
        <v>0.058056872338056564</v>
      </c>
      <c r="R31" s="19">
        <f>IFERROR(Q31-INDEX($Q$9:$Q$47,MATCH($H31,$A$9:$A$47,0)),"")</f>
        <v>-0.001803006976842881</v>
      </c>
      <c r="S31" s="20">
        <f>IFERROR((Q31-INDEX($Q$9:$Q$47,MATCH($H31,$A$9:$A$47,0)))/INDEX($Q$9:$Q$47,MATCH($H31,$A$9:$A$47,0)),"")</f>
        <v>-0.030120457934069086798785509997533009175225764180738</v>
      </c>
      <c r="T31" s="18">
        <v>0.03222237527370453</v>
      </c>
      <c r="U31" s="19">
        <f>IFERROR(T31-INDEX($T$9:$T$47,MATCH($H31,$A$9:$A$47,0)),"")</f>
        <v>-0.000936247408390044</v>
      </c>
      <c r="V31" s="20">
        <f>IFERROR((T31-INDEX($T$9:$T$47,MATCH($H31,$A$9:$A$47,0)))/INDEX($T$9:$T$47,MATCH($H31,$A$9:$A$47,0)),"")</f>
        <v>-0.028235413073885336599758301389643179703539167825159</v>
      </c>
      <c r="W31" s="16" t="inlineStr">
        <is>
          <t xml:space="preserve">历史producer未唯一确定</t>
        </is>
      </c>
      <c r="X31" s="16" t="inlineStr">
        <is>
          <t xml:space="preserve">R-Kmeans（配置支持）</t>
        </is>
      </c>
      <c r="Y31" s="16" t="inlineStr">
        <is>
          <t xml:space="preserve">双独立</t>
        </is>
      </c>
      <c r="Z31" s="16" t="inlineStr">
        <is>
          <t xml:space="preserve">step 5000 / ed627a41aae7</t>
        </is>
      </c>
      <c r="AA31" s="17">
        <v>160</v>
      </c>
      <c r="AB31" s="17">
        <v>0</v>
      </c>
      <c r="AC31" s="16" t="inlineStr">
        <is>
          <t xml:space="preserve">ga-20261017-toys5000-eval-4-v1</t>
        </is>
      </c>
      <c r="AD31" s="16" t="inlineStr">
        <is>
          <t xml:space="preserve">b44399926c98369191c2ff5c2425377c8c07d3c8</t>
        </is>
      </c>
      <c r="AE31" s="16" t="inlineStr">
        <is>
          <t xml:space="preserve">原始结果 ↗</t>
        </is>
      </c>
      <c r="AF31" s="16" t="inlineStr">
        <is>
          <t xml:space="preserve">SID a487a4bdadef
CFG f14ab2ee7c5f</t>
        </is>
      </c>
      <c r="AG31" s="16" t="inlineStr">
        <is>
          <t xml:space="preserve">与A-5300同SID、不同checkpoint；不按test分数删除任一候选。</t>
        </is>
      </c>
    </row>
    <row r="32" ht="84" customHeight="1">
      <c r="A32" s="21" t="inlineStr">
        <is>
          <t xml:space="preserve">Toys.MLP.vs.B.Normal</t>
        </is>
      </c>
      <c r="B32" s="21" t="inlineStr">
        <is>
          <t xml:space="preserve">Toys.MLP.Formal</t>
        </is>
      </c>
      <c r="C32" s="21" t="inlineStr">
        <is>
          <t xml:space="preserve">Toys</t>
        </is>
      </c>
      <c r="D32" s="21" t="inlineStr">
        <is>
          <t xml:space="preserve">MLP</t>
        </is>
      </c>
      <c r="E32" s="21" t="inlineStr">
        <is>
          <t xml:space="preserve">MLP</t>
        </is>
      </c>
      <c r="F32" s="21" t="inlineStr">
        <is>
          <t xml:space="preserve">MLP</t>
        </is>
      </c>
      <c r="G32" s="22">
        <v>19412</v>
      </c>
      <c r="H32" s="21" t="inlineStr">
        <is>
          <t xml:space="preserve">Toys.B.Normal</t>
        </is>
      </c>
      <c r="I32" s="21" t="inlineStr">
        <is>
          <t xml:space="preserve">Toys-B-Normal</t>
        </is>
      </c>
      <c r="J32" s="21" t="inlineStr">
        <is>
          <t xml:space="preserve">参考性能差值；非严格单因素增益</t>
        </is>
      </c>
      <c r="K32" s="23">
        <v>0.03482381999492645</v>
      </c>
      <c r="L32" s="24">
        <f>IFERROR(K32-INDEX($K$9:$K$47,MATCH($H32,$A$9:$A$47,0)),"")</f>
        <v>-0.00726354867219925</v>
      </c>
      <c r="M32" s="25">
        <f>IFERROR((K32-INDEX($K$9:$K$47,MATCH($H32,$A$9:$A$47,0)))/INDEX($K$9:$K$47,MATCH($H32,$A$9:$A$47,0)),"")</f>
        <v>-0.17258262757283714611547383793902804835026404893497</v>
      </c>
      <c r="N32" s="23">
        <v>0.025292707607150078</v>
      </c>
      <c r="O32" s="24">
        <f>IFERROR(N32-INDEX($N$9:$N$47,MATCH($H32,$A$9:$A$47,0)),"")</f>
        <v>-0.001694153994321822</v>
      </c>
      <c r="P32" s="25">
        <f>IFERROR((N32-INDEX($N$9:$N$47,MATCH($H32,$A$9:$A$47,0)))/INDEX($N$9:$N$47,MATCH($H32,$A$9:$A$47,0)),"")</f>
        <v>-0.062776991980031518207533684033505073093459814642312</v>
      </c>
      <c r="Q32" s="23">
        <v>0.04981454834342003</v>
      </c>
      <c r="R32" s="24">
        <f>IFERROR(Q32-INDEX($Q$9:$Q$47,MATCH($H32,$A$9:$A$47,0)),"")</f>
        <v>-0.01602101698517799</v>
      </c>
      <c r="S32" s="25">
        <f>IFERROR((Q32-INDEX($Q$9:$Q$47,MATCH($H32,$A$9:$A$47,0)))/INDEX($Q$9:$Q$47,MATCH($H32,$A$9:$A$47,0)),"")</f>
        <v>-0.24334896959134474540081652711399352017508188739077</v>
      </c>
      <c r="T32" s="23">
        <v>0.030142273753881454</v>
      </c>
      <c r="U32" s="24">
        <f>IFERROR(T32-INDEX($T$9:$T$47,MATCH($H32,$A$9:$A$47,0)),"")</f>
        <v>-0.004460662603378296</v>
      </c>
      <c r="V32" s="25">
        <f>IFERROR((T32-INDEX($T$9:$T$47,MATCH($H32,$A$9:$A$47,0)))/INDEX($T$9:$T$47,MATCH($H32,$A$9:$A$47,0)),"")</f>
        <v>-0.12890994444297910084240820425805647095430889740054</v>
      </c>
      <c r="W32" s="21" t="inlineStr">
        <is>
          <t xml:space="preserve">历史producer未唯一确定</t>
        </is>
      </c>
      <c r="X32" s="21" t="inlineStr">
        <is>
          <t xml:space="preserve">RQ-VAE+STE</t>
        </is>
      </c>
      <c r="Y32" s="21" t="inlineStr">
        <is>
          <t xml:space="preserve">共享</t>
        </is>
      </c>
      <c r="Z32" s="21" t="inlineStr">
        <is>
          <t xml:space="preserve">best step 4400 / 1d613682e026</t>
        </is>
      </c>
      <c r="AA32" s="22">
        <v>354</v>
      </c>
      <c r="AB32" s="22">
        <v>0</v>
      </c>
      <c r="AC32" s="21" t="inlineStr">
        <is>
          <t xml:space="preserve">gf-20261015-toys-mlp-formal-v1</t>
        </is>
      </c>
      <c r="AD32" s="21" t="inlineStr">
        <is>
          <t xml:space="preserve">4495c38459971aee36b00d881eb50f50fafa3159</t>
        </is>
      </c>
      <c r="AE32" s="21" t="inlineStr">
        <is>
          <t xml:space="preserve">原始结果 ↗</t>
        </is>
      </c>
      <c r="AF32" s="21" t="inlineStr">
        <is>
          <t xml:space="preserve">SID 26bae0c90859
CFG 9050b9de5ae2</t>
        </is>
      </c>
      <c r="AG32" s="21" t="inlineStr">
        <is>
          <t xml:space="preserve">同一MLP模型的不同参考行；不计为额外实验。无唯一匹配Normal；SID/结构/训练协议有差异。</t>
        </is>
      </c>
    </row>
    <row r="33" ht="84" customHeight="1">
      <c r="A33" s="21" t="inlineStr">
        <is>
          <t xml:space="preserve">Toys.MLP.vs.A-5300.Normal</t>
        </is>
      </c>
      <c r="B33" s="21" t="inlineStr">
        <is>
          <t xml:space="preserve">Toys.MLP.Formal</t>
        </is>
      </c>
      <c r="C33" s="21" t="inlineStr">
        <is>
          <t xml:space="preserve">Toys</t>
        </is>
      </c>
      <c r="D33" s="21" t="inlineStr">
        <is>
          <t xml:space="preserve">MLP</t>
        </is>
      </c>
      <c r="E33" s="21" t="inlineStr">
        <is>
          <t xml:space="preserve">MLP</t>
        </is>
      </c>
      <c r="F33" s="21" t="inlineStr">
        <is>
          <t xml:space="preserve">MLP</t>
        </is>
      </c>
      <c r="G33" s="22">
        <v>19412</v>
      </c>
      <c r="H33" s="21" t="inlineStr">
        <is>
          <t xml:space="preserve">Toys.A-5300.Normal</t>
        </is>
      </c>
      <c r="I33" s="21" t="inlineStr">
        <is>
          <t xml:space="preserve">Toys-A-5300-Normal</t>
        </is>
      </c>
      <c r="J33" s="21" t="inlineStr">
        <is>
          <t xml:space="preserve">参考性能差值；非严格单因素增益</t>
        </is>
      </c>
      <c r="K33" s="23">
        <v>0.03482381999492645</v>
      </c>
      <c r="L33" s="24">
        <f>IFERROR(K33-INDEX($K$9:$K$47,MATCH($H33,$A$9:$A$47,0)),"")</f>
        <v>-0.00525448098778725</v>
      </c>
      <c r="M33" s="25">
        <f>IFERROR((K33-INDEX($K$9:$K$47,MATCH($H33,$A$9:$A$47,0)))/INDEX($K$9:$K$47,MATCH($H33,$A$9:$A$47,0)),"")</f>
        <v>-0.13110538268709486903509028575341258120246204804041</v>
      </c>
      <c r="N33" s="23">
        <v>0.025292707607150078</v>
      </c>
      <c r="O33" s="24">
        <f>IFERROR(N33-INDEX($N$9:$N$47,MATCH($H33,$A$9:$A$47,0)),"")</f>
        <v>-0.001963153481483459</v>
      </c>
      <c r="P33" s="25">
        <f>IFERROR((N33-INDEX($N$9:$N$47,MATCH($H33,$A$9:$A$47,0)))/INDEX($N$9:$N$47,MATCH($H33,$A$9:$A$47,0)),"")</f>
        <v>-0.072026837644184699234823754991132990570889666934917</v>
      </c>
      <c r="Q33" s="23">
        <v>0.04981454834342003</v>
      </c>
      <c r="R33" s="24">
        <f>IFERROR(Q33-INDEX($Q$9:$Q$47,MATCH($H33,$A$9:$A$47,0)),"")</f>
        <v>-0.01148773729801178</v>
      </c>
      <c r="S33" s="25">
        <f>IFERROR((Q33-INDEX($Q$9:$Q$47,MATCH($H33,$A$9:$A$47,0)))/INDEX($Q$9:$Q$47,MATCH($H33,$A$9:$A$47,0)),"")</f>
        <v>-0.18739492627086760725576282201498557752325143973615</v>
      </c>
      <c r="T33" s="23">
        <v>0.030142273753881454</v>
      </c>
      <c r="U33" s="24">
        <f>IFERROR(T33-INDEX($T$9:$T$47,MATCH($H33,$A$9:$A$47,0)),"")</f>
        <v>-0.003917653113603592</v>
      </c>
      <c r="V33" s="25">
        <f>IFERROR((T33-INDEX($T$9:$T$47,MATCH($H33,$A$9:$A$47,0)))/INDEX($T$9:$T$47,MATCH($H33,$A$9:$A$47,0)),"")</f>
        <v>-0.11502235835225878569913226129393552268276576950011</v>
      </c>
      <c r="W33" s="21" t="inlineStr">
        <is>
          <t xml:space="preserve">历史producer未唯一确定</t>
        </is>
      </c>
      <c r="X33" s="21" t="inlineStr">
        <is>
          <t xml:space="preserve">RQ-VAE+STE</t>
        </is>
      </c>
      <c r="Y33" s="21" t="inlineStr">
        <is>
          <t xml:space="preserve">共享</t>
        </is>
      </c>
      <c r="Z33" s="21" t="inlineStr">
        <is>
          <t xml:space="preserve">best step 4400 / 1d613682e026</t>
        </is>
      </c>
      <c r="AA33" s="22">
        <v>354</v>
      </c>
      <c r="AB33" s="22">
        <v>0</v>
      </c>
      <c r="AC33" s="21" t="inlineStr">
        <is>
          <t xml:space="preserve">gf-20261015-toys-mlp-formal-v1</t>
        </is>
      </c>
      <c r="AD33" s="21" t="inlineStr">
        <is>
          <t xml:space="preserve">4495c38459971aee36b00d881eb50f50fafa3159</t>
        </is>
      </c>
      <c r="AE33" s="21" t="inlineStr">
        <is>
          <t xml:space="preserve">原始结果 ↗</t>
        </is>
      </c>
      <c r="AF33" s="21" t="inlineStr">
        <is>
          <t xml:space="preserve">SID 26bae0c90859
CFG 9050b9de5ae2</t>
        </is>
      </c>
      <c r="AG33" s="21" t="inlineStr">
        <is>
          <t xml:space="preserve">同一MLP模型的不同参考行；不计为额外实验。无唯一匹配Normal；SID/结构/训练协议有差异。</t>
        </is>
      </c>
    </row>
    <row r="34" ht="84" customHeight="1">
      <c r="A34" s="21" t="inlineStr">
        <is>
          <t xml:space="preserve">Toys.MLP.vs.A-5000.Normal</t>
        </is>
      </c>
      <c r="B34" s="21" t="inlineStr">
        <is>
          <t xml:space="preserve">Toys.MLP.Formal</t>
        </is>
      </c>
      <c r="C34" s="21" t="inlineStr">
        <is>
          <t xml:space="preserve">Toys</t>
        </is>
      </c>
      <c r="D34" s="21" t="inlineStr">
        <is>
          <t xml:space="preserve">MLP</t>
        </is>
      </c>
      <c r="E34" s="21" t="inlineStr">
        <is>
          <t xml:space="preserve">MLP</t>
        </is>
      </c>
      <c r="F34" s="21" t="inlineStr">
        <is>
          <t xml:space="preserve">MLP</t>
        </is>
      </c>
      <c r="G34" s="22">
        <v>19412</v>
      </c>
      <c r="H34" s="21" t="inlineStr">
        <is>
          <t xml:space="preserve">Toys.A-5000.Normal</t>
        </is>
      </c>
      <c r="I34" s="21" t="inlineStr">
        <is>
          <t xml:space="preserve">Toys-A-5000-Normal</t>
        </is>
      </c>
      <c r="J34" s="21" t="inlineStr">
        <is>
          <t xml:space="preserve">参考性能差值；非严格单因素增益</t>
        </is>
      </c>
      <c r="K34" s="23">
        <v>0.03482381999492645</v>
      </c>
      <c r="L34" s="24">
        <f>IFERROR(K34-INDEX($K$9:$K$47,MATCH($H34,$A$9:$A$47,0)),"")</f>
        <v>-0.00582114234566689</v>
      </c>
      <c r="M34" s="25">
        <f>IFERROR((K34-INDEX($K$9:$K$47,MATCH($H34,$A$9:$A$47,0)))/INDEX($K$9:$K$47,MATCH($H34,$A$9:$A$47,0)),"")</f>
        <v>-0.14321928254939335911049445308221139862933873956536</v>
      </c>
      <c r="N34" s="23">
        <v>0.025292707607150078</v>
      </c>
      <c r="O34" s="24">
        <f>IFERROR(N34-INDEX($N$9:$N$47,MATCH($H34,$A$9:$A$47,0)),"")</f>
        <v>-0.001644270494580269</v>
      </c>
      <c r="P34" s="25">
        <f>IFERROR((N34-INDEX($N$9:$N$47,MATCH($H34,$A$9:$A$47,0)))/INDEX($N$9:$N$47,MATCH($H34,$A$9:$A$47,0)),"")</f>
        <v>-0.061041386616216101084953932458220071012075265962535</v>
      </c>
      <c r="Q34" s="23">
        <v>0.04981454834342003</v>
      </c>
      <c r="R34" s="24">
        <f>IFERROR(Q34-INDEX($Q$9:$Q$47,MATCH($H34,$A$9:$A$47,0)),"")</f>
        <v>-0.010045330971479415</v>
      </c>
      <c r="S34" s="25">
        <f>IFERROR((Q34-INDEX($Q$9:$Q$47,MATCH($H34,$A$9:$A$47,0)))/INDEX($Q$9:$Q$47,MATCH($H34,$A$9:$A$47,0)),"")</f>
        <v>-0.16781408660439912123933264487966034740920316281185</v>
      </c>
      <c r="T34" s="23">
        <v>0.030142273753881454</v>
      </c>
      <c r="U34" s="24">
        <f>IFERROR(T34-INDEX($T$9:$T$47,MATCH($H34,$A$9:$A$47,0)),"")</f>
        <v>-0.003016348928213120</v>
      </c>
      <c r="V34" s="25">
        <f>IFERROR((T34-INDEX($T$9:$T$47,MATCH($H34,$A$9:$A$47,0)))/INDEX($T$9:$T$47,MATCH($H34,$A$9:$A$47,0)),"")</f>
        <v>-0.090967256304102385898438983327493356094240490062245</v>
      </c>
      <c r="W34" s="21" t="inlineStr">
        <is>
          <t xml:space="preserve">历史producer未唯一确定</t>
        </is>
      </c>
      <c r="X34" s="21" t="inlineStr">
        <is>
          <t xml:space="preserve">RQ-VAE+STE</t>
        </is>
      </c>
      <c r="Y34" s="21" t="inlineStr">
        <is>
          <t xml:space="preserve">共享</t>
        </is>
      </c>
      <c r="Z34" s="21" t="inlineStr">
        <is>
          <t xml:space="preserve">best step 4400 / 1d613682e026</t>
        </is>
      </c>
      <c r="AA34" s="22">
        <v>354</v>
      </c>
      <c r="AB34" s="22">
        <v>0</v>
      </c>
      <c r="AC34" s="21" t="inlineStr">
        <is>
          <t xml:space="preserve">gf-20261015-toys-mlp-formal-v1</t>
        </is>
      </c>
      <c r="AD34" s="21" t="inlineStr">
        <is>
          <t xml:space="preserve">4495c38459971aee36b00d881eb50f50fafa3159</t>
        </is>
      </c>
      <c r="AE34" s="21" t="inlineStr">
        <is>
          <t xml:space="preserve">原始结果 ↗</t>
        </is>
      </c>
      <c r="AF34" s="21" t="inlineStr">
        <is>
          <t xml:space="preserve">SID 26bae0c90859
CFG 9050b9de5ae2</t>
        </is>
      </c>
      <c r="AG34" s="21" t="inlineStr">
        <is>
          <t xml:space="preserve">同一MLP模型的不同参考行；不计为额外实验。无唯一匹配Normal；SID/结构/训练协议有差异。</t>
        </is>
      </c>
    </row>
    <row r="35" ht="84" customHeight="1">
      <c r="A35" s="5" t="inlineStr">
        <is>
          <t xml:space="preserve">Sports.Paper.RK-Means</t>
        </is>
      </c>
      <c r="B35" s="5" t="inlineStr">
        <is>
          <t xml:space="preserve">Sports.Paper.RK-Means</t>
        </is>
      </c>
      <c r="C35" s="5" t="inlineStr">
        <is>
          <t xml:space="preserve">Sports</t>
        </is>
      </c>
      <c r="D35" s="5" t="inlineStr">
        <is>
          <t xml:space="preserve">论文</t>
        </is>
      </c>
      <c r="E35" s="5" t="inlineStr">
        <is>
          <t xml:space="preserve">RK-Means</t>
        </is>
      </c>
      <c r="F35" s="5" t="inlineStr">
        <is>
          <t xml:space="preserve">Paper</t>
        </is>
      </c>
      <c r="G35" s="6"/>
      <c r="H35" s="5"/>
      <c r="I35" s="5" t="inlineStr">
        <is>
          <t xml:space="preserve">无对照（论文参考值）</t>
        </is>
      </c>
      <c r="J35" s="5" t="inlineStr">
        <is>
          <t xml:space="preserve">论文5-seed汇总</t>
        </is>
      </c>
      <c r="K35" s="7">
        <v>0.0236</v>
      </c>
      <c r="L35" s="6"/>
      <c r="M35" s="6"/>
      <c r="N35" s="7">
        <v>0.0153</v>
      </c>
      <c r="O35" s="6"/>
      <c r="P35" s="6"/>
      <c r="Q35" s="7">
        <v>0.0353</v>
      </c>
      <c r="R35" s="6"/>
      <c r="S35" s="6"/>
      <c r="T35" s="7">
        <v>0.0191</v>
      </c>
      <c r="U35" s="6"/>
      <c r="V35" s="6"/>
      <c r="W35" s="5" t="inlineStr">
        <is>
          <t xml:space="preserve">Flan-T5-XL（默认）</t>
        </is>
      </c>
      <c r="X35" s="5" t="inlineStr">
        <is>
          <t xml:space="preserve">RK-Means</t>
        </is>
      </c>
      <c r="Y35" s="5" t="inlineStr">
        <is>
          <t xml:space="preserve">论文未对应</t>
        </is>
      </c>
      <c r="Z35" s="5" t="inlineStr">
        <is>
          <t xml:space="preserve">5 seeds均值；无单一checkpoint</t>
        </is>
      </c>
      <c r="AA35" s="6"/>
      <c r="AB35" s="6"/>
      <c r="AC35" s="5"/>
      <c r="AD35" s="5" t="inlineStr">
        <is>
          <t xml:space="preserve">arXiv:2507.22224v1</t>
        </is>
      </c>
      <c r="AE35" s="5" t="inlineStr">
        <is>
          <t xml:space="preserve">原始结果 ↗</t>
        </is>
      </c>
      <c r="AF35" s="5" t="inlineStr">
        <is>
          <t xml:space="preserve">论文固定原文 ↗</t>
        </is>
      </c>
      <c r="AG35" s="5" t="inlineStr">
        <is>
          <t xml:space="preserve">论文原列R5/R10/N5/N10已交换为R5/N5/R10/N10；未把本域目标数冒充论文独立记录。</t>
        </is>
      </c>
    </row>
    <row r="36" ht="84" customHeight="1">
      <c r="A36" s="8" t="inlineStr">
        <is>
          <t xml:space="preserve">Sports.Paper.R-VQ</t>
        </is>
      </c>
      <c r="B36" s="8" t="inlineStr">
        <is>
          <t xml:space="preserve">Sports.Paper.R-VQ</t>
        </is>
      </c>
      <c r="C36" s="8" t="inlineStr">
        <is>
          <t xml:space="preserve">Sports</t>
        </is>
      </c>
      <c r="D36" s="8" t="inlineStr">
        <is>
          <t xml:space="preserve">论文</t>
        </is>
      </c>
      <c r="E36" s="8" t="inlineStr">
        <is>
          <t xml:space="preserve">R-VQ</t>
        </is>
      </c>
      <c r="F36" s="8" t="inlineStr">
        <is>
          <t xml:space="preserve">Paper</t>
        </is>
      </c>
      <c r="G36" s="9"/>
      <c r="H36" s="8"/>
      <c r="I36" s="8" t="inlineStr">
        <is>
          <t xml:space="preserve">无对照（论文参考值）</t>
        </is>
      </c>
      <c r="J36" s="8" t="inlineStr">
        <is>
          <t xml:space="preserve">论文5-seed汇总</t>
        </is>
      </c>
      <c r="K36" s="10">
        <v>0.0234</v>
      </c>
      <c r="L36" s="9"/>
      <c r="M36" s="9"/>
      <c r="N36" s="10">
        <v>0.0151</v>
      </c>
      <c r="O36" s="9"/>
      <c r="P36" s="9"/>
      <c r="Q36" s="10">
        <v>0.0352</v>
      </c>
      <c r="R36" s="9"/>
      <c r="S36" s="9"/>
      <c r="T36" s="10">
        <v>0.0189</v>
      </c>
      <c r="U36" s="9"/>
      <c r="V36" s="9"/>
      <c r="W36" s="8" t="inlineStr">
        <is>
          <t xml:space="preserve">Flan-T5-XL（默认）</t>
        </is>
      </c>
      <c r="X36" s="8" t="inlineStr">
        <is>
          <t xml:space="preserve">R-VQ</t>
        </is>
      </c>
      <c r="Y36" s="8" t="inlineStr">
        <is>
          <t xml:space="preserve">论文未对应</t>
        </is>
      </c>
      <c r="Z36" s="8" t="inlineStr">
        <is>
          <t xml:space="preserve">5 seeds均值；无单一checkpoint</t>
        </is>
      </c>
      <c r="AA36" s="9"/>
      <c r="AB36" s="9"/>
      <c r="AC36" s="8"/>
      <c r="AD36" s="8" t="inlineStr">
        <is>
          <t xml:space="preserve">arXiv:2507.22224v1</t>
        </is>
      </c>
      <c r="AE36" s="8" t="inlineStr">
        <is>
          <t xml:space="preserve">原始结果 ↗</t>
        </is>
      </c>
      <c r="AF36" s="8" t="inlineStr">
        <is>
          <t xml:space="preserve">论文固定原文 ↗</t>
        </is>
      </c>
      <c r="AG36" s="8" t="inlineStr">
        <is>
          <t xml:space="preserve">论文原列R5/R10/N5/N10已交换为R5/N5/R10/N10；未把本域目标数冒充论文独立记录。</t>
        </is>
      </c>
    </row>
    <row r="37" ht="84" customHeight="1">
      <c r="A37" s="8" t="inlineStr">
        <is>
          <t xml:space="preserve">Sports.Paper.RQ-VAE</t>
        </is>
      </c>
      <c r="B37" s="8" t="inlineStr">
        <is>
          <t xml:space="preserve">Sports.Paper.RQ-VAE</t>
        </is>
      </c>
      <c r="C37" s="8" t="inlineStr">
        <is>
          <t xml:space="preserve">Sports</t>
        </is>
      </c>
      <c r="D37" s="8" t="inlineStr">
        <is>
          <t xml:space="preserve">论文</t>
        </is>
      </c>
      <c r="E37" s="8" t="inlineStr">
        <is>
          <t xml:space="preserve">RQ-VAE</t>
        </is>
      </c>
      <c r="F37" s="8" t="inlineStr">
        <is>
          <t xml:space="preserve">Paper</t>
        </is>
      </c>
      <c r="G37" s="9"/>
      <c r="H37" s="8"/>
      <c r="I37" s="8" t="inlineStr">
        <is>
          <t xml:space="preserve">无对照（论文参考值）</t>
        </is>
      </c>
      <c r="J37" s="8" t="inlineStr">
        <is>
          <t xml:space="preserve">论文5-seed汇总</t>
        </is>
      </c>
      <c r="K37" s="10">
        <v>0.0205</v>
      </c>
      <c r="L37" s="9"/>
      <c r="M37" s="9"/>
      <c r="N37" s="10">
        <v>0.0132</v>
      </c>
      <c r="O37" s="9"/>
      <c r="P37" s="9"/>
      <c r="Q37" s="10">
        <v>0.0312</v>
      </c>
      <c r="R37" s="9"/>
      <c r="S37" s="9"/>
      <c r="T37" s="10">
        <v>0.0166</v>
      </c>
      <c r="U37" s="9"/>
      <c r="V37" s="9"/>
      <c r="W37" s="8" t="inlineStr">
        <is>
          <t xml:space="preserve">Flan-T5-XL（默认）</t>
        </is>
      </c>
      <c r="X37" s="8" t="inlineStr">
        <is>
          <t xml:space="preserve">RQ-VAE</t>
        </is>
      </c>
      <c r="Y37" s="8" t="inlineStr">
        <is>
          <t xml:space="preserve">论文未对应</t>
        </is>
      </c>
      <c r="Z37" s="8" t="inlineStr">
        <is>
          <t xml:space="preserve">5 seeds均值；无单一checkpoint</t>
        </is>
      </c>
      <c r="AA37" s="9"/>
      <c r="AB37" s="9"/>
      <c r="AC37" s="8"/>
      <c r="AD37" s="8" t="inlineStr">
        <is>
          <t xml:space="preserve">arXiv:2507.22224v1</t>
        </is>
      </c>
      <c r="AE37" s="8" t="inlineStr">
        <is>
          <t xml:space="preserve">原始结果 ↗</t>
        </is>
      </c>
      <c r="AF37" s="8" t="inlineStr">
        <is>
          <t xml:space="preserve">论文固定原文 ↗</t>
        </is>
      </c>
      <c r="AG37" s="8" t="inlineStr">
        <is>
          <t xml:space="preserve">论文原列R5/R10/N5/N10已交换为R5/N5/R10/N10；未把本域目标数冒充论文独立记录。</t>
        </is>
      </c>
    </row>
    <row r="38" ht="84" customHeight="1">
      <c r="A38" s="11" t="inlineStr">
        <is>
          <t xml:space="preserve">Sports.B.Normal</t>
        </is>
      </c>
      <c r="B38" s="11" t="inlineStr">
        <is>
          <t xml:space="preserve">Sports.B.Normal</t>
        </is>
      </c>
      <c r="C38" s="11" t="inlineStr">
        <is>
          <t xml:space="preserve">Sports</t>
        </is>
      </c>
      <c r="D38" s="11" t="inlineStr">
        <is>
          <t xml:space="preserve">Baseline</t>
        </is>
      </c>
      <c r="E38" s="11" t="inlineStr">
        <is>
          <t xml:space="preserve">B</t>
        </is>
      </c>
      <c r="F38" s="11" t="inlineStr">
        <is>
          <t xml:space="preserve">Normal</t>
        </is>
      </c>
      <c r="G38" s="12">
        <v>35598</v>
      </c>
      <c r="H38" s="11" t="inlineStr">
        <is>
          <t xml:space="preserve">Sports.Paper.RK-Means</t>
        </is>
      </c>
      <c r="I38" s="11" t="inlineStr">
        <is>
          <t xml:space="preserve">本域论文 RK-Means</t>
        </is>
      </c>
      <c r="J38" s="11" t="inlineStr">
        <is>
          <t xml:space="preserve">论文参考；非严格同配置复现</t>
        </is>
      </c>
      <c r="K38" s="13">
        <v>0.02418675273656845</v>
      </c>
      <c r="L38" s="14">
        <f>IFERROR(K38-INDEX($K$9:$K$47,MATCH($H38,$A$9:$A$47,0)),"")</f>
        <v>0.00058675273656845</v>
      </c>
      <c r="M38" s="15">
        <f>IFERROR((K38-INDEX($K$9:$K$47,MATCH($H38,$A$9:$A$47,0)))/INDEX($K$9:$K$47,MATCH($H38,$A$9:$A$47,0)),"")</f>
        <v>0.024862404091883474576271186440677966101694915254237</v>
      </c>
      <c r="N38" s="13">
        <v>0.015850426629185677</v>
      </c>
      <c r="O38" s="14">
        <f>IFERROR(N38-INDEX($N$9:$N$47,MATCH($H38,$A$9:$A$47,0)),"")</f>
        <v>0.000550426629185677</v>
      </c>
      <c r="P38" s="15">
        <f>IFERROR((N38-INDEX($N$9:$N$47,MATCH($H38,$A$9:$A$47,0)))/INDEX($N$9:$N$47,MATCH($H38,$A$9:$A$47,0)),"")</f>
        <v>0.035975596678802418300653594771241830065359477124183</v>
      </c>
      <c r="Q38" s="13">
        <v>0.035928983241319656</v>
      </c>
      <c r="R38" s="14">
        <f>IFERROR(Q38-INDEX($Q$9:$Q$47,MATCH($H38,$A$9:$A$47,0)),"")</f>
        <v>0.000628983241319656</v>
      </c>
      <c r="S38" s="15">
        <f>IFERROR((Q38-INDEX($Q$9:$Q$47,MATCH($H38,$A$9:$A$47,0)))/INDEX($Q$9:$Q$47,MATCH($H38,$A$9:$A$47,0)),"")</f>
        <v>0.017818222133701303116147308781869688385269121813031</v>
      </c>
      <c r="T38" s="13">
        <v>0.01962937042117119</v>
      </c>
      <c r="U38" s="14">
        <f>IFERROR(T38-INDEX($T$9:$T$47,MATCH($H38,$A$9:$A$47,0)),"")</f>
        <v>0.00052937042117119</v>
      </c>
      <c r="V38" s="15">
        <f>IFERROR((T38-INDEX($T$9:$T$47,MATCH($H38,$A$9:$A$47,0)))/INDEX($T$9:$T$47,MATCH($H38,$A$9:$A$47,0)),"")</f>
        <v>0.027715728857130366492146596858638743455497382198953</v>
      </c>
      <c r="W38" s="11" t="inlineStr">
        <is>
          <t xml:space="preserve">Qwen2.5-7B-Instruct / 3584维</t>
        </is>
      </c>
      <c r="X38" s="11" t="inlineStr">
        <is>
          <t xml:space="preserve">R-Kmeans</t>
        </is>
      </c>
      <c r="Y38" s="11" t="inlineStr">
        <is>
          <t xml:space="preserve">共享</t>
        </is>
      </c>
      <c r="Z38" s="11" t="inlineStr">
        <is>
          <t xml:space="preserve">step 9500 / 29fcf86753cf</t>
        </is>
      </c>
      <c r="AA38" s="12">
        <v>3</v>
      </c>
      <c r="AB38" s="12">
        <v>0</v>
      </c>
      <c r="AC38" s="11" t="inlineStr">
        <is>
          <t xml:space="preserve">gs-20261017-sports-b-normal-v1</t>
        </is>
      </c>
      <c r="AD38" s="11" t="inlineStr">
        <is>
          <t xml:space="preserve">c8acac42d5e13ca80af75faac5d1f7bc33fb589f</t>
        </is>
      </c>
      <c r="AE38" s="11" t="inlineStr">
        <is>
          <t xml:space="preserve">原始结果 ↗</t>
        </is>
      </c>
      <c r="AF38" s="11" t="inlineStr">
        <is>
          <t xml:space="preserve">SID 89b2c2bbb94e
CFG 59a6a7566bf2</t>
        </is>
      </c>
      <c r="AG38" s="11" t="inlineStr">
        <is>
          <t xml:space="preserve">B类适配；与MLP同SID及基础配置，但不同权重/结构。</t>
        </is>
      </c>
    </row>
    <row r="39" ht="84" customHeight="1">
      <c r="A39" s="16" t="inlineStr">
        <is>
          <t xml:space="preserve">Sports.B.Shuffle3</t>
        </is>
      </c>
      <c r="B39" s="16" t="inlineStr">
        <is>
          <t xml:space="preserve">Sports.B.Shuffle3</t>
        </is>
      </c>
      <c r="C39" s="16" t="inlineStr">
        <is>
          <t xml:space="preserve">Sports</t>
        </is>
      </c>
      <c r="D39" s="16" t="inlineStr">
        <is>
          <t xml:space="preserve">Shuffle</t>
        </is>
      </c>
      <c r="E39" s="16" t="inlineStr">
        <is>
          <t xml:space="preserve">B</t>
        </is>
      </c>
      <c r="F39" s="16" t="inlineStr">
        <is>
          <t xml:space="preserve">Shuffle3</t>
        </is>
      </c>
      <c r="G39" s="17">
        <v>35598</v>
      </c>
      <c r="H39" s="16" t="inlineStr">
        <is>
          <t xml:space="preserve">Sports.B.Normal</t>
        </is>
      </c>
      <c r="I39" s="16" t="inlineStr">
        <is>
          <t xml:space="preserve">Sports-B-Normal</t>
        </is>
      </c>
      <c r="J39" s="16" t="inlineStr">
        <is>
          <t xml:space="preserve">同checkpoint/SID测试时扰动</t>
        </is>
      </c>
      <c r="K39" s="18">
        <v>0.022276531904935837</v>
      </c>
      <c r="L39" s="19">
        <f>IFERROR(K39-INDEX($K$9:$K$47,MATCH($H39,$A$9:$A$47,0)),"")</f>
        <v>-0.001910220831632613</v>
      </c>
      <c r="M39" s="20">
        <f>IFERROR((K39-INDEX($K$9:$K$47,MATCH($H39,$A$9:$A$47,0)))/INDEX($K$9:$K$47,MATCH($H39,$A$9:$A$47,0)),"")</f>
        <v>-0.078977978252719752294996193275174408014948133952094</v>
      </c>
      <c r="N39" s="18">
        <v>0.01461019553244114</v>
      </c>
      <c r="O39" s="19">
        <f>IFERROR(N39-INDEX($N$9:$N$47,MATCH($H39,$A$9:$A$47,0)),"")</f>
        <v>-0.001240231096744537</v>
      </c>
      <c r="P39" s="20">
        <f>IFERROR((N39-INDEX($N$9:$N$47,MATCH($H39,$A$9:$A$47,0)))/INDEX($N$9:$N$47,MATCH($H39,$A$9:$A$47,0)),"")</f>
        <v>-0.078245912602811401189928676932476125406706781864683</v>
      </c>
      <c r="Q39" s="18">
        <v>0.03250182420015335</v>
      </c>
      <c r="R39" s="19">
        <f>IFERROR(Q39-INDEX($Q$9:$Q$47,MATCH($H39,$A$9:$A$47,0)),"")</f>
        <v>-0.003427159041166306</v>
      </c>
      <c r="S39" s="20">
        <f>IFERROR((Q39-INDEX($Q$9:$Q$47,MATCH($H39,$A$9:$A$47,0)))/INDEX($Q$9:$Q$47,MATCH($H39,$A$9:$A$47,0)),"")</f>
        <v>-0.095387031081495974226492398470560336051522904970678</v>
      </c>
      <c r="T39" s="18">
        <v>0.01791044883430004</v>
      </c>
      <c r="U39" s="19">
        <f>IFERROR(T39-INDEX($T$9:$T$47,MATCH($H39,$A$9:$A$47,0)),"")</f>
        <v>-0.00171892158687115</v>
      </c>
      <c r="V39" s="20">
        <f>IFERROR((T39-INDEX($T$9:$T$47,MATCH($H39,$A$9:$A$47,0)))/INDEX($T$9:$T$47,MATCH($H39,$A$9:$A$47,0)),"")</f>
        <v>-0.087568859825336681738627250976016639352277253126339</v>
      </c>
      <c r="W39" s="16" t="inlineStr">
        <is>
          <t xml:space="preserve">Qwen2.5-7B-Instruct / 3584维</t>
        </is>
      </c>
      <c r="X39" s="16" t="inlineStr">
        <is>
          <t xml:space="preserve">R-Kmeans</t>
        </is>
      </c>
      <c r="Y39" s="16" t="inlineStr">
        <is>
          <t xml:space="preserve">共享</t>
        </is>
      </c>
      <c r="Z39" s="16" t="inlineStr">
        <is>
          <t xml:space="preserve">step 9500 / 29fcf86753cf</t>
        </is>
      </c>
      <c r="AA39" s="17">
        <v>5</v>
      </c>
      <c r="AB39" s="17">
        <v>0</v>
      </c>
      <c r="AC39" s="16" t="inlineStr">
        <is>
          <t xml:space="preserve">gs-20261017-sports-b-shuffle3-v1</t>
        </is>
      </c>
      <c r="AD39" s="16" t="inlineStr">
        <is>
          <t xml:space="preserve">c8acac42d5e13ca80af75faac5d1f7bc33fb589f</t>
        </is>
      </c>
      <c r="AE39" s="16" t="inlineStr">
        <is>
          <t xml:space="preserve">原始结果 ↗</t>
        </is>
      </c>
      <c r="AF39" s="16" t="inlineStr">
        <is>
          <t xml:space="preserve">SID 89b2c2bbb94e
CFG 59a6a7566bf2</t>
        </is>
      </c>
      <c r="AG39" s="16" t="inlineStr">
        <is>
          <t xml:space="preserve">B类适配；与MLP同SID及基础配置，但不同权重/结构。</t>
        </is>
      </c>
    </row>
    <row r="40" ht="84" customHeight="1">
      <c r="A40" s="16" t="inlineStr">
        <is>
          <t xml:space="preserve">Sports.B.Shuffle4</t>
        </is>
      </c>
      <c r="B40" s="16" t="inlineStr">
        <is>
          <t xml:space="preserve">Sports.B.Shuffle4</t>
        </is>
      </c>
      <c r="C40" s="16" t="inlineStr">
        <is>
          <t xml:space="preserve">Sports</t>
        </is>
      </c>
      <c r="D40" s="16" t="inlineStr">
        <is>
          <t xml:space="preserve">Shuffle</t>
        </is>
      </c>
      <c r="E40" s="16" t="inlineStr">
        <is>
          <t xml:space="preserve">B</t>
        </is>
      </c>
      <c r="F40" s="16" t="inlineStr">
        <is>
          <t xml:space="preserve">Shuffle4</t>
        </is>
      </c>
      <c r="G40" s="17">
        <v>35598</v>
      </c>
      <c r="H40" s="16" t="inlineStr">
        <is>
          <t xml:space="preserve">Sports.B.Normal</t>
        </is>
      </c>
      <c r="I40" s="16" t="inlineStr">
        <is>
          <t xml:space="preserve">Sports-B-Normal</t>
        </is>
      </c>
      <c r="J40" s="16" t="inlineStr">
        <is>
          <t xml:space="preserve">同checkpoint/SID测试时扰动</t>
        </is>
      </c>
      <c r="K40" s="18">
        <v>0.022725995630025864</v>
      </c>
      <c r="L40" s="19">
        <f>IFERROR(K40-INDEX($K$9:$K$47,MATCH($H40,$A$9:$A$47,0)),"")</f>
        <v>-0.001460757106542586</v>
      </c>
      <c r="M40" s="20">
        <f>IFERROR((K40-INDEX($K$9:$K$47,MATCH($H40,$A$9:$A$47,0)))/INDEX($K$9:$K$47,MATCH($H40,$A$9:$A$47,0)),"")</f>
        <v>-0.060394924546197440612960259142889959409316888737956</v>
      </c>
      <c r="N40" s="18">
        <v>0.014738601632416248</v>
      </c>
      <c r="O40" s="19">
        <f>IFERROR(N40-INDEX($N$9:$N$47,MATCH($H40,$A$9:$A$47,0)),"")</f>
        <v>-0.001111824996769429</v>
      </c>
      <c r="P40" s="20">
        <f>IFERROR((N40-INDEX($N$9:$N$47,MATCH($H40,$A$9:$A$47,0)))/INDEX($N$9:$N$47,MATCH($H40,$A$9:$A$47,0)),"")</f>
        <v>-0.070144799429070605622271446884212034073248929087193</v>
      </c>
      <c r="Q40" s="18">
        <v>0.034383952617645264</v>
      </c>
      <c r="R40" s="19">
        <f>IFERROR(Q40-INDEX($Q$9:$Q$47,MATCH($H40,$A$9:$A$47,0)),"")</f>
        <v>-0.001545030623674392</v>
      </c>
      <c r="S40" s="20">
        <f>IFERROR((Q40-INDEX($Q$9:$Q$47,MATCH($H40,$A$9:$A$47,0)))/INDEX($Q$9:$Q$47,MATCH($H40,$A$9:$A$47,0)),"")</f>
        <v>-0.043002347528096753735758149730264516752285307611748</v>
      </c>
      <c r="T40" s="18">
        <v>0.01850234530866146</v>
      </c>
      <c r="U40" s="19">
        <f>IFERROR(T40-INDEX($T$9:$T$47,MATCH($H40,$A$9:$A$47,0)),"")</f>
        <v>-0.00112702511250973</v>
      </c>
      <c r="V40" s="20">
        <f>IFERROR((T40-INDEX($T$9:$T$47,MATCH($H40,$A$9:$A$47,0)))/INDEX($T$9:$T$47,MATCH($H40,$A$9:$A$47,0)),"")</f>
        <v>-0.057415245029671503808408901147764349900364755103551</v>
      </c>
      <c r="W40" s="16" t="inlineStr">
        <is>
          <t xml:space="preserve">Qwen2.5-7B-Instruct / 3584维</t>
        </is>
      </c>
      <c r="X40" s="16" t="inlineStr">
        <is>
          <t xml:space="preserve">R-Kmeans</t>
        </is>
      </c>
      <c r="Y40" s="16" t="inlineStr">
        <is>
          <t xml:space="preserve">共享</t>
        </is>
      </c>
      <c r="Z40" s="16" t="inlineStr">
        <is>
          <t xml:space="preserve">step 9500 / 29fcf86753cf</t>
        </is>
      </c>
      <c r="AA40" s="17">
        <v>3</v>
      </c>
      <c r="AB40" s="17">
        <v>0</v>
      </c>
      <c r="AC40" s="16" t="inlineStr">
        <is>
          <t xml:space="preserve">gs-20261017-sports-b-shuffle4-v1</t>
        </is>
      </c>
      <c r="AD40" s="16" t="inlineStr">
        <is>
          <t xml:space="preserve">c8acac42d5e13ca80af75faac5d1f7bc33fb589f</t>
        </is>
      </c>
      <c r="AE40" s="16" t="inlineStr">
        <is>
          <t xml:space="preserve">原始结果 ↗</t>
        </is>
      </c>
      <c r="AF40" s="16" t="inlineStr">
        <is>
          <t xml:space="preserve">SID 89b2c2bbb94e
CFG 59a6a7566bf2</t>
        </is>
      </c>
      <c r="AG40" s="16" t="inlineStr">
        <is>
          <t xml:space="preserve">B类适配；与MLP同SID及基础配置，但不同权重/结构。</t>
        </is>
      </c>
    </row>
    <row r="41" ht="84" customHeight="1">
      <c r="A41" s="11" t="inlineStr">
        <is>
          <t xml:space="preserve">Sports.A1.Normal</t>
        </is>
      </c>
      <c r="B41" s="11" t="inlineStr">
        <is>
          <t xml:space="preserve">Sports.A1.Normal</t>
        </is>
      </c>
      <c r="C41" s="11" t="inlineStr">
        <is>
          <t xml:space="preserve">Sports</t>
        </is>
      </c>
      <c r="D41" s="11" t="inlineStr">
        <is>
          <t xml:space="preserve">Baseline</t>
        </is>
      </c>
      <c r="E41" s="11" t="inlineStr">
        <is>
          <t xml:space="preserve">A1</t>
        </is>
      </c>
      <c r="F41" s="11" t="inlineStr">
        <is>
          <t xml:space="preserve">Normal</t>
        </is>
      </c>
      <c r="G41" s="12">
        <v>35598</v>
      </c>
      <c r="H41" s="11" t="inlineStr">
        <is>
          <t xml:space="preserve">Sports.Paper.RK-Means</t>
        </is>
      </c>
      <c r="I41" s="11" t="inlineStr">
        <is>
          <t xml:space="preserve">本域论文 RK-Means</t>
        </is>
      </c>
      <c r="J41" s="11" t="inlineStr">
        <is>
          <t xml:space="preserve">论文参考；非严格同配置复现</t>
        </is>
      </c>
      <c r="K41" s="13">
        <v>0.02581605687737465</v>
      </c>
      <c r="L41" s="14">
        <f>IFERROR(K41-INDEX($K$9:$K$47,MATCH($H41,$A$9:$A$47,0)),"")</f>
        <v>0.00221605687737465</v>
      </c>
      <c r="M41" s="15">
        <f>IFERROR((K41-INDEX($K$9:$K$47,MATCH($H41,$A$9:$A$47,0)))/INDEX($K$9:$K$47,MATCH($H41,$A$9:$A$47,0)),"")</f>
        <v>0.093900715142993644067796610169491525423728813559322</v>
      </c>
      <c r="N41" s="13">
        <v>0.01716848649084568</v>
      </c>
      <c r="O41" s="14">
        <f>IFERROR(N41-INDEX($N$9:$N$47,MATCH($H41,$A$9:$A$47,0)),"")</f>
        <v>0.00186848649084568</v>
      </c>
      <c r="P41" s="15">
        <f>IFERROR((N41-INDEX($N$9:$N$47,MATCH($H41,$A$9:$A$47,0)))/INDEX($N$9:$N$47,MATCH($H41,$A$9:$A$47,0)),"")</f>
        <v>0.12212330005527320261437908496732026143790849673203</v>
      </c>
      <c r="Q41" s="13">
        <v>0.037586379796266556</v>
      </c>
      <c r="R41" s="14">
        <f>IFERROR(Q41-INDEX($Q$9:$Q$47,MATCH($H41,$A$9:$A$47,0)),"")</f>
        <v>0.002286379796266556</v>
      </c>
      <c r="S41" s="15">
        <f>IFERROR((Q41-INDEX($Q$9:$Q$47,MATCH($H41,$A$9:$A$47,0)))/INDEX($Q$9:$Q$47,MATCH($H41,$A$9:$A$47,0)),"")</f>
        <v>0.064769965899902436260623229461756373937677053824363</v>
      </c>
      <c r="T41" s="13">
        <v>0.020962946116924286</v>
      </c>
      <c r="U41" s="14">
        <f>IFERROR(T41-INDEX($T$9:$T$47,MATCH($H41,$A$9:$A$47,0)),"")</f>
        <v>0.001862946116924286</v>
      </c>
      <c r="V41" s="15">
        <f>IFERROR((T41-INDEX($T$9:$T$47,MATCH($H41,$A$9:$A$47,0)))/INDEX($T$9:$T$47,MATCH($H41,$A$9:$A$47,0)),"")</f>
        <v>0.097536445912266282722513089005235602094240837696335</v>
      </c>
      <c r="W41" s="11" t="inlineStr">
        <is>
          <t xml:space="preserve">Qwen2.5-7B-Instruct / 3584维</t>
        </is>
      </c>
      <c r="X41" s="11" t="inlineStr">
        <is>
          <t xml:space="preserve">R-Kmeans</t>
        </is>
      </c>
      <c r="Y41" s="11" t="inlineStr">
        <is>
          <t xml:space="preserve">双独立</t>
        </is>
      </c>
      <c r="Z41" s="11" t="inlineStr">
        <is>
          <t xml:space="preserve">step 8600 / 0f2ce9ab6155</t>
        </is>
      </c>
      <c r="AA41" s="12">
        <v>20</v>
      </c>
      <c r="AB41" s="12">
        <v>0</v>
      </c>
      <c r="AC41" s="11" t="inlineStr">
        <is>
          <t xml:space="preserve">ga-20261017-sportsa1-eval-0-v1</t>
        </is>
      </c>
      <c r="AD41" s="11" t="inlineStr">
        <is>
          <t xml:space="preserve">b44399926c98369191c2ff5c2425377c8c07d3c8</t>
        </is>
      </c>
      <c r="AE41" s="11" t="inlineStr">
        <is>
          <t xml:space="preserve">原始结果 ↗</t>
        </is>
      </c>
      <c r="AF41" s="11" t="inlineStr">
        <is>
          <t xml:space="preserve">SID 89b2c2bbb94e
CFG 见下方证据</t>
        </is>
      </c>
      <c r="AG41" s="11" t="inlineStr">
        <is>
          <t xml:space="preserve">同Sports-B SID；另行scratch双表训练；final9600。</t>
        </is>
      </c>
    </row>
    <row r="42" ht="84" customHeight="1">
      <c r="A42" s="16" t="inlineStr">
        <is>
          <t xml:space="preserve">Sports.A1.Shuffle3</t>
        </is>
      </c>
      <c r="B42" s="16" t="inlineStr">
        <is>
          <t xml:space="preserve">Sports.A1.Shuffle3</t>
        </is>
      </c>
      <c r="C42" s="16" t="inlineStr">
        <is>
          <t xml:space="preserve">Sports</t>
        </is>
      </c>
      <c r="D42" s="16" t="inlineStr">
        <is>
          <t xml:space="preserve">Shuffle</t>
        </is>
      </c>
      <c r="E42" s="16" t="inlineStr">
        <is>
          <t xml:space="preserve">A1</t>
        </is>
      </c>
      <c r="F42" s="16" t="inlineStr">
        <is>
          <t xml:space="preserve">Shuffle3</t>
        </is>
      </c>
      <c r="G42" s="17">
        <v>35598</v>
      </c>
      <c r="H42" s="16" t="inlineStr">
        <is>
          <t xml:space="preserve">Sports.A1.Normal</t>
        </is>
      </c>
      <c r="I42" s="16" t="inlineStr">
        <is>
          <t xml:space="preserve">Sports-A1-Normal</t>
        </is>
      </c>
      <c r="J42" s="16" t="inlineStr">
        <is>
          <t xml:space="preserve">同checkpoint/SID测试时扰动</t>
        </is>
      </c>
      <c r="K42" s="18">
        <v>0.019748300313949585</v>
      </c>
      <c r="L42" s="19">
        <f>IFERROR(K42-INDEX($K$9:$K$47,MATCH($H42,$A$9:$A$47,0)),"")</f>
        <v>-0.006067756563425065</v>
      </c>
      <c r="M42" s="20">
        <f>IFERROR((K42-INDEX($K$9:$K$47,MATCH($H42,$A$9:$A$47,0)))/INDEX($K$9:$K$47,MATCH($H42,$A$9:$A$47,0)),"")</f>
        <v>-0.23503808471784410771386524881977236064212566016828</v>
      </c>
      <c r="N42" s="18">
        <v>0.013000275008380413</v>
      </c>
      <c r="O42" s="19">
        <f>IFERROR(N42-INDEX($N$9:$N$47,MATCH($H42,$A$9:$A$47,0)),"")</f>
        <v>-0.004168211482465267</v>
      </c>
      <c r="P42" s="20">
        <f>IFERROR((N42-INDEX($N$9:$N$47,MATCH($H42,$A$9:$A$47,0)))/INDEX($N$9:$N$47,MATCH($H42,$A$9:$A$47,0)),"")</f>
        <v>-0.24278269867805630473964635098173851164569156937208</v>
      </c>
      <c r="Q42" s="18">
        <v>0.02949603833258152</v>
      </c>
      <c r="R42" s="19">
        <f>IFERROR(Q42-INDEX($Q$9:$Q$47,MATCH($H42,$A$9:$A$47,0)),"")</f>
        <v>-0.008090341463685036</v>
      </c>
      <c r="S42" s="20">
        <f>IFERROR((Q42-INDEX($Q$9:$Q$47,MATCH($H42,$A$9:$A$47,0)))/INDEX($Q$9:$Q$47,MATCH($H42,$A$9:$A$47,0)),"")</f>
        <v>-0.21524662677113285667482467510625974503475364785043</v>
      </c>
      <c r="T42" s="18">
        <v>0.016144171357154846</v>
      </c>
      <c r="U42" s="19">
        <f>IFERROR(T42-INDEX($T$9:$T$47,MATCH($H42,$A$9:$A$47,0)),"")</f>
        <v>-0.004818774759769440</v>
      </c>
      <c r="V42" s="20">
        <f>IFERROR((T42-INDEX($T$9:$T$47,MATCH($H42,$A$9:$A$47,0)))/INDEX($T$9:$T$47,MATCH($H42,$A$9:$A$47,0)),"")</f>
        <v>-0.22987106549298604285740033537905721694093929145424</v>
      </c>
      <c r="W42" s="16" t="inlineStr">
        <is>
          <t xml:space="preserve">Qwen2.5-7B-Instruct / 3584维</t>
        </is>
      </c>
      <c r="X42" s="16" t="inlineStr">
        <is>
          <t xml:space="preserve">R-Kmeans</t>
        </is>
      </c>
      <c r="Y42" s="16" t="inlineStr">
        <is>
          <t xml:space="preserve">双独立</t>
        </is>
      </c>
      <c r="Z42" s="16" t="inlineStr">
        <is>
          <t xml:space="preserve">step 8600 / 0f2ce9ab6155</t>
        </is>
      </c>
      <c r="AA42" s="17">
        <v>10</v>
      </c>
      <c r="AB42" s="17">
        <v>0</v>
      </c>
      <c r="AC42" s="16" t="inlineStr">
        <is>
          <t xml:space="preserve">ga-20261017-sportsa1-eval-3-v1</t>
        </is>
      </c>
      <c r="AD42" s="16" t="inlineStr">
        <is>
          <t xml:space="preserve">b44399926c98369191c2ff5c2425377c8c07d3c8</t>
        </is>
      </c>
      <c r="AE42" s="16" t="inlineStr">
        <is>
          <t xml:space="preserve">原始结果 ↗</t>
        </is>
      </c>
      <c r="AF42" s="16" t="inlineStr">
        <is>
          <t xml:space="preserve">SID 89b2c2bbb94e
CFG 见下方证据</t>
        </is>
      </c>
      <c r="AG42" s="16" t="inlineStr">
        <is>
          <t xml:space="preserve">同Sports-B SID；另行scratch双表训练；final9600。</t>
        </is>
      </c>
    </row>
    <row r="43" ht="84" customHeight="1">
      <c r="A43" s="16" t="inlineStr">
        <is>
          <t xml:space="preserve">Sports.A1.Shuffle4</t>
        </is>
      </c>
      <c r="B43" s="16" t="inlineStr">
        <is>
          <t xml:space="preserve">Sports.A1.Shuffle4</t>
        </is>
      </c>
      <c r="C43" s="16" t="inlineStr">
        <is>
          <t xml:space="preserve">Sports</t>
        </is>
      </c>
      <c r="D43" s="16" t="inlineStr">
        <is>
          <t xml:space="preserve">Shuffle</t>
        </is>
      </c>
      <c r="E43" s="16" t="inlineStr">
        <is>
          <t xml:space="preserve">A1</t>
        </is>
      </c>
      <c r="F43" s="16" t="inlineStr">
        <is>
          <t xml:space="preserve">Shuffle4</t>
        </is>
      </c>
      <c r="G43" s="17">
        <v>35598</v>
      </c>
      <c r="H43" s="16" t="inlineStr">
        <is>
          <t xml:space="preserve">Sports.A1.Normal</t>
        </is>
      </c>
      <c r="I43" s="16" t="inlineStr">
        <is>
          <t xml:space="preserve">Sports-A1-Normal</t>
        </is>
      </c>
      <c r="J43" s="16" t="inlineStr">
        <is>
          <t xml:space="preserve">同checkpoint/SID测试时扰动</t>
        </is>
      </c>
      <c r="K43" s="18">
        <v>0.01986066624522209</v>
      </c>
      <c r="L43" s="19">
        <f>IFERROR(K43-INDEX($K$9:$K$47,MATCH($H43,$A$9:$A$47,0)),"")</f>
        <v>-0.00595539063215256</v>
      </c>
      <c r="M43" s="20">
        <f>IFERROR((K43-INDEX($K$9:$K$47,MATCH($H43,$A$9:$A$47,0)))/INDEX($K$9:$K$47,MATCH($H43,$A$9:$A$47,0)),"")</f>
        <v>-0.23068552492119355149374986542925978435498036347898</v>
      </c>
      <c r="N43" s="18">
        <v>0.012999451719224453</v>
      </c>
      <c r="O43" s="19">
        <f>IFERROR(N43-INDEX($N$9:$N$47,MATCH($H43,$A$9:$A$47,0)),"")</f>
        <v>-0.004169034771621227</v>
      </c>
      <c r="P43" s="20">
        <f>IFERROR((N43-INDEX($N$9:$N$47,MATCH($H43,$A$9:$A$47,0)))/INDEX($N$9:$N$47,MATCH($H43,$A$9:$A$47,0)),"")</f>
        <v>-0.24283065218615377050975059359209211912371895611979</v>
      </c>
      <c r="Q43" s="18">
        <v>0.029299398884177208</v>
      </c>
      <c r="R43" s="19">
        <f>IFERROR(Q43-INDEX($Q$9:$Q$47,MATCH($H43,$A$9:$A$47,0)),"")</f>
        <v>-0.008286980912089348</v>
      </c>
      <c r="S43" s="20">
        <f>IFERROR((Q43-INDEX($Q$9:$Q$47,MATCH($H43,$A$9:$A$47,0)))/INDEX($Q$9:$Q$47,MATCH($H43,$A$9:$A$47,0)),"")</f>
        <v>-0.22047829445155799137512047578339788099493083179065</v>
      </c>
      <c r="T43" s="18">
        <v>0.016071824356913567</v>
      </c>
      <c r="U43" s="19">
        <f>IFERROR(T43-INDEX($T$9:$T$47,MATCH($H43,$A$9:$A$47,0)),"")</f>
        <v>-0.004891121760010719</v>
      </c>
      <c r="V43" s="20">
        <f>IFERROR((T43-INDEX($T$9:$T$47,MATCH($H43,$A$9:$A$47,0)))/INDEX($T$9:$T$47,MATCH($H43,$A$9:$A$47,0)),"")</f>
        <v>-0.23332225025669967765132216980328043299737903794680</v>
      </c>
      <c r="W43" s="16" t="inlineStr">
        <is>
          <t xml:space="preserve">Qwen2.5-7B-Instruct / 3584维</t>
        </is>
      </c>
      <c r="X43" s="16" t="inlineStr">
        <is>
          <t xml:space="preserve">R-Kmeans</t>
        </is>
      </c>
      <c r="Y43" s="16" t="inlineStr">
        <is>
          <t xml:space="preserve">双独立</t>
        </is>
      </c>
      <c r="Z43" s="16" t="inlineStr">
        <is>
          <t xml:space="preserve">step 8600 / 0f2ce9ab6155</t>
        </is>
      </c>
      <c r="AA43" s="17">
        <v>14</v>
      </c>
      <c r="AB43" s="17">
        <v>0</v>
      </c>
      <c r="AC43" s="16" t="inlineStr">
        <is>
          <t xml:space="preserve">ga-20261017-sportsa1-eval-4-v1</t>
        </is>
      </c>
      <c r="AD43" s="16" t="inlineStr">
        <is>
          <t xml:space="preserve">b44399926c98369191c2ff5c2425377c8c07d3c8</t>
        </is>
      </c>
      <c r="AE43" s="16" t="inlineStr">
        <is>
          <t xml:space="preserve">原始结果 ↗</t>
        </is>
      </c>
      <c r="AF43" s="16" t="inlineStr">
        <is>
          <t xml:space="preserve">SID 89b2c2bbb94e
CFG 见下方证据</t>
        </is>
      </c>
      <c r="AG43" s="16" t="inlineStr">
        <is>
          <t xml:space="preserve">同Sports-B SID；另行scratch双表训练；final9600。</t>
        </is>
      </c>
    </row>
    <row r="44" ht="84" customHeight="1">
      <c r="A44" s="11" t="inlineStr">
        <is>
          <t xml:space="preserve">Sports.A2.Normal</t>
        </is>
      </c>
      <c r="B44" s="11" t="inlineStr">
        <is>
          <t xml:space="preserve">Sports.A2.Normal</t>
        </is>
      </c>
      <c r="C44" s="11" t="inlineStr">
        <is>
          <t xml:space="preserve">Sports</t>
        </is>
      </c>
      <c r="D44" s="11" t="inlineStr">
        <is>
          <t xml:space="preserve">Baseline</t>
        </is>
      </c>
      <c r="E44" s="11" t="inlineStr">
        <is>
          <t xml:space="preserve">A2</t>
        </is>
      </c>
      <c r="F44" s="11" t="inlineStr">
        <is>
          <t xml:space="preserve">Normal</t>
        </is>
      </c>
      <c r="G44" s="12">
        <v>35598</v>
      </c>
      <c r="H44" s="11" t="inlineStr">
        <is>
          <t xml:space="preserve">Sports.Paper.RK-Means</t>
        </is>
      </c>
      <c r="I44" s="11" t="inlineStr">
        <is>
          <t xml:space="preserve">本域论文 RK-Means</t>
        </is>
      </c>
      <c r="J44" s="11" t="inlineStr">
        <is>
          <t xml:space="preserve">论文参考；非严格同配置复现</t>
        </is>
      </c>
      <c r="K44" s="13">
        <v>0.02250126376748085</v>
      </c>
      <c r="L44" s="14">
        <f>IFERROR(K44-INDEX($K$9:$K$47,MATCH($H44,$A$9:$A$47,0)),"")</f>
        <v>-0.00109873623251915</v>
      </c>
      <c r="M44" s="15">
        <f>IFERROR((K44-INDEX($K$9:$K$47,MATCH($H44,$A$9:$A$47,0)))/INDEX($K$9:$K$47,MATCH($H44,$A$9:$A$47,0)),"")</f>
        <v>-0.046556620021997881355932203389830508474576271186441</v>
      </c>
      <c r="N44" s="13">
        <v>0.01467102486640215</v>
      </c>
      <c r="O44" s="14">
        <f>IFERROR(N44-INDEX($N$9:$N$47,MATCH($H44,$A$9:$A$47,0)),"")</f>
        <v>-0.00062897513359785</v>
      </c>
      <c r="P44" s="15">
        <f>IFERROR((N44-INDEX($N$9:$N$47,MATCH($H44,$A$9:$A$47,0)))/INDEX($N$9:$N$47,MATCH($H44,$A$9:$A$47,0)),"")</f>
        <v>-0.041109485856068627450980392156862745098039215686275</v>
      </c>
      <c r="Q44" s="13">
        <v>0.03421540558338165</v>
      </c>
      <c r="R44" s="14">
        <f>IFERROR(Q44-INDEX($Q$9:$Q$47,MATCH($H44,$A$9:$A$47,0)),"")</f>
        <v>-0.00108459441661835</v>
      </c>
      <c r="S44" s="15">
        <f>IFERROR((Q44-INDEX($Q$9:$Q$47,MATCH($H44,$A$9:$A$47,0)))/INDEX($Q$9:$Q$47,MATCH($H44,$A$9:$A$47,0)),"")</f>
        <v>-0.030725054295137393767705382436260623229461756373938</v>
      </c>
      <c r="T44" s="13">
        <v>0.018478265032172203</v>
      </c>
      <c r="U44" s="14">
        <f>IFERROR(T44-INDEX($T$9:$T$47,MATCH($H44,$A$9:$A$47,0)),"")</f>
        <v>-0.000621734967827797</v>
      </c>
      <c r="V44" s="15">
        <f>IFERROR((T44-INDEX($T$9:$T$47,MATCH($H44,$A$9:$A$47,0)))/INDEX($T$9:$T$47,MATCH($H44,$A$9:$A$47,0)),"")</f>
        <v>-0.032551568996219738219895287958115183246073298429319</v>
      </c>
      <c r="W44" s="11" t="inlineStr">
        <is>
          <t xml:space="preserve">T5-small / 512维</t>
        </is>
      </c>
      <c r="X44" s="11" t="inlineStr">
        <is>
          <t xml:space="preserve">R-Kmeans</t>
        </is>
      </c>
      <c r="Y44" s="11" t="inlineStr">
        <is>
          <t xml:space="preserve">双独立</t>
        </is>
      </c>
      <c r="Z44" s="11" t="inlineStr">
        <is>
          <t xml:space="preserve">step 6900 / 1287c3f60404</t>
        </is>
      </c>
      <c r="AA44" s="12">
        <v>35</v>
      </c>
      <c r="AB44" s="12">
        <v>0</v>
      </c>
      <c r="AC44" s="11" t="inlineStr">
        <is>
          <t xml:space="preserve">ga-20261018-sportsa2-eval-0-fd-recovery-v1</t>
        </is>
      </c>
      <c r="AD44" s="11" t="inlineStr">
        <is>
          <t xml:space="preserve">85b77f5e2a5b497fdc1f620649ba488fc783a245</t>
        </is>
      </c>
      <c r="AE44" s="11" t="inlineStr">
        <is>
          <t xml:space="preserve">原始结果 ↗</t>
        </is>
      </c>
      <c r="AF44" s="11" t="inlineStr">
        <is>
          <t xml:space="preserve">SID 06cfa6ba0f64
CFG 6f336505677d</t>
        </is>
      </c>
      <c r="AG44" s="11" t="inlineStr">
        <is>
          <t xml:space="preserve">新SID+scratch双表；量化FD工程恢复30 steps；final7900。</t>
        </is>
      </c>
    </row>
    <row r="45" ht="84" customHeight="1">
      <c r="A45" s="16" t="inlineStr">
        <is>
          <t xml:space="preserve">Sports.A2.Shuffle3</t>
        </is>
      </c>
      <c r="B45" s="16" t="inlineStr">
        <is>
          <t xml:space="preserve">Sports.A2.Shuffle3</t>
        </is>
      </c>
      <c r="C45" s="16" t="inlineStr">
        <is>
          <t xml:space="preserve">Sports</t>
        </is>
      </c>
      <c r="D45" s="16" t="inlineStr">
        <is>
          <t xml:space="preserve">Shuffle</t>
        </is>
      </c>
      <c r="E45" s="16" t="inlineStr">
        <is>
          <t xml:space="preserve">A2</t>
        </is>
      </c>
      <c r="F45" s="16" t="inlineStr">
        <is>
          <t xml:space="preserve">Shuffle3</t>
        </is>
      </c>
      <c r="G45" s="17">
        <v>35598</v>
      </c>
      <c r="H45" s="16" t="inlineStr">
        <is>
          <t xml:space="preserve">Sports.A2.Normal</t>
        </is>
      </c>
      <c r="I45" s="16" t="inlineStr">
        <is>
          <t xml:space="preserve">Sports-A2-Normal</t>
        </is>
      </c>
      <c r="J45" s="16" t="inlineStr">
        <is>
          <t xml:space="preserve">同checkpoint/SID测试时扰动</t>
        </is>
      </c>
      <c r="K45" s="18">
        <v>0.020282037556171417</v>
      </c>
      <c r="L45" s="19">
        <f>IFERROR(K45-INDEX($K$9:$K$47,MATCH($H45,$A$9:$A$47,0)),"")</f>
        <v>-0.002219226211309433</v>
      </c>
      <c r="M45" s="20">
        <f>IFERROR((K45-INDEX($K$9:$K$47,MATCH($H45,$A$9:$A$47,0)))/INDEX($K$9:$K$47,MATCH($H45,$A$9:$A$47,0)),"")</f>
        <v>-0.098626736446540866585259509806557700475735982679583</v>
      </c>
      <c r="N45" s="18">
        <v>0.012955863028764725</v>
      </c>
      <c r="O45" s="19">
        <f>IFERROR(N45-INDEX($N$9:$N$47,MATCH($H45,$A$9:$A$47,0)),"")</f>
        <v>-0.001715161837637425</v>
      </c>
      <c r="P45" s="20">
        <f>IFERROR((N45-INDEX($N$9:$N$47,MATCH($H45,$A$9:$A$47,0)))/INDEX($N$9:$N$47,MATCH($H45,$A$9:$A$47,0)),"")</f>
        <v>-0.11690811332242277464812714067519430447794257119039</v>
      </c>
      <c r="Q45" s="18">
        <v>0.030254509299993515</v>
      </c>
      <c r="R45" s="19">
        <f>IFERROR(Q45-INDEX($Q$9:$Q$47,MATCH($H45,$A$9:$A$47,0)),"")</f>
        <v>-0.003960896283388135</v>
      </c>
      <c r="S45" s="20">
        <f>IFERROR((Q45-INDEX($Q$9:$Q$47,MATCH($H45,$A$9:$A$47,0)))/INDEX($Q$9:$Q$47,MATCH($H45,$A$9:$A$47,0)),"")</f>
        <v>-0.11576353446214689715468458127325407217158290271072</v>
      </c>
      <c r="T45" s="18">
        <v>0.016185346990823746</v>
      </c>
      <c r="U45" s="19">
        <f>IFERROR(T45-INDEX($T$9:$T$47,MATCH($H45,$A$9:$A$47,0)),"")</f>
        <v>-0.002292918041348457</v>
      </c>
      <c r="V45" s="20">
        <f>IFERROR((T45-INDEX($T$9:$T$47,MATCH($H45,$A$9:$A$47,0)))/INDEX($T$9:$T$47,MATCH($H45,$A$9:$A$47,0)),"")</f>
        <v>-0.12408730134329684910684423463318870002142639504329</v>
      </c>
      <c r="W45" s="16" t="inlineStr">
        <is>
          <t xml:space="preserve">T5-small / 512维</t>
        </is>
      </c>
      <c r="X45" s="16" t="inlineStr">
        <is>
          <t xml:space="preserve">R-Kmeans</t>
        </is>
      </c>
      <c r="Y45" s="16" t="inlineStr">
        <is>
          <t xml:space="preserve">双独立</t>
        </is>
      </c>
      <c r="Z45" s="16" t="inlineStr">
        <is>
          <t xml:space="preserve">step 6900 / 1287c3f60404</t>
        </is>
      </c>
      <c r="AA45" s="17">
        <v>25</v>
      </c>
      <c r="AB45" s="17">
        <v>0</v>
      </c>
      <c r="AC45" s="16" t="inlineStr">
        <is>
          <t xml:space="preserve">ga-20261018-sportsa2-eval-3-fd-recovery-v1</t>
        </is>
      </c>
      <c r="AD45" s="16" t="inlineStr">
        <is>
          <t xml:space="preserve">85b77f5e2a5b497fdc1f620649ba488fc783a245</t>
        </is>
      </c>
      <c r="AE45" s="16" t="inlineStr">
        <is>
          <t xml:space="preserve">原始结果 ↗</t>
        </is>
      </c>
      <c r="AF45" s="16" t="inlineStr">
        <is>
          <t xml:space="preserve">SID 06cfa6ba0f64
CFG 6f336505677d</t>
        </is>
      </c>
      <c r="AG45" s="16" t="inlineStr">
        <is>
          <t xml:space="preserve">新SID+scratch双表；量化FD工程恢复30 steps；final7900。</t>
        </is>
      </c>
    </row>
    <row r="46" ht="84" customHeight="1">
      <c r="A46" s="16" t="inlineStr">
        <is>
          <t xml:space="preserve">Sports.A2.Shuffle4</t>
        </is>
      </c>
      <c r="B46" s="16" t="inlineStr">
        <is>
          <t xml:space="preserve">Sports.A2.Shuffle4</t>
        </is>
      </c>
      <c r="C46" s="16" t="inlineStr">
        <is>
          <t xml:space="preserve">Sports</t>
        </is>
      </c>
      <c r="D46" s="16" t="inlineStr">
        <is>
          <t xml:space="preserve">Shuffle</t>
        </is>
      </c>
      <c r="E46" s="16" t="inlineStr">
        <is>
          <t xml:space="preserve">A2</t>
        </is>
      </c>
      <c r="F46" s="16" t="inlineStr">
        <is>
          <t xml:space="preserve">Shuffle4</t>
        </is>
      </c>
      <c r="G46" s="17">
        <v>35598</v>
      </c>
      <c r="H46" s="16" t="inlineStr">
        <is>
          <t xml:space="preserve">Sports.A2.Normal</t>
        </is>
      </c>
      <c r="I46" s="16" t="inlineStr">
        <is>
          <t xml:space="preserve">Sports-A2-Normal</t>
        </is>
      </c>
      <c r="J46" s="16" t="inlineStr">
        <is>
          <t xml:space="preserve">同checkpoint/SID测试时扰动</t>
        </is>
      </c>
      <c r="K46" s="18">
        <v>0.019635934382677078</v>
      </c>
      <c r="L46" s="19">
        <f>IFERROR(K46-INDEX($K$9:$K$47,MATCH($H46,$A$9:$A$47,0)),"")</f>
        <v>-0.002865329384803772</v>
      </c>
      <c r="M46" s="20">
        <f>IFERROR((K46-INDEX($K$9:$K$47,MATCH($H46,$A$9:$A$47,0)))/INDEX($K$9:$K$47,MATCH($H46,$A$9:$A$47,0)),"")</f>
        <v>-0.12734082024960692362621894110852376561841164729201</v>
      </c>
      <c r="N46" s="18">
        <v>0.012565478682518005</v>
      </c>
      <c r="O46" s="19">
        <f>IFERROR(N46-INDEX($N$9:$N$47,MATCH($H46,$A$9:$A$47,0)),"")</f>
        <v>-0.002105546183884145</v>
      </c>
      <c r="P46" s="20">
        <f>IFERROR((N46-INDEX($N$9:$N$47,MATCH($H46,$A$9:$A$47,0)))/INDEX($N$9:$N$47,MATCH($H46,$A$9:$A$47,0)),"")</f>
        <v>-0.14351732091368875125145330584461351788527386944056</v>
      </c>
      <c r="Q46" s="18">
        <v>0.030928703024983406</v>
      </c>
      <c r="R46" s="19">
        <f>IFERROR(Q46-INDEX($Q$9:$Q$47,MATCH($H46,$A$9:$A$47,0)),"")</f>
        <v>-0.003286702558398244</v>
      </c>
      <c r="S46" s="20">
        <f>IFERROR((Q46-INDEX($Q$9:$Q$47,MATCH($H46,$A$9:$A$47,0)))/INDEX($Q$9:$Q$47,MATCH($H46,$A$9:$A$47,0)),"")</f>
        <v>-0.096059143603856283647537560430207374697184262673155</v>
      </c>
      <c r="T46" s="18">
        <v>0.016218414530158043</v>
      </c>
      <c r="U46" s="19">
        <f>IFERROR(T46-INDEX($T$9:$T$47,MATCH($H46,$A$9:$A$47,0)),"")</f>
        <v>-0.002259850502014160</v>
      </c>
      <c r="V46" s="20">
        <f>IFERROR((T46-INDEX($T$9:$T$47,MATCH($H46,$A$9:$A$47,0)))/INDEX($T$9:$T$47,MATCH($H46,$A$9:$A$47,0)),"")</f>
        <v>-0.12229776432362949117430853563110158919376178222553</v>
      </c>
      <c r="W46" s="16" t="inlineStr">
        <is>
          <t xml:space="preserve">T5-small / 512维</t>
        </is>
      </c>
      <c r="X46" s="16" t="inlineStr">
        <is>
          <t xml:space="preserve">R-Kmeans</t>
        </is>
      </c>
      <c r="Y46" s="16" t="inlineStr">
        <is>
          <t xml:space="preserve">双独立</t>
        </is>
      </c>
      <c r="Z46" s="16" t="inlineStr">
        <is>
          <t xml:space="preserve">step 6900 / 1287c3f60404</t>
        </is>
      </c>
      <c r="AA46" s="17">
        <v>39</v>
      </c>
      <c r="AB46" s="17">
        <v>0</v>
      </c>
      <c r="AC46" s="16" t="inlineStr">
        <is>
          <t xml:space="preserve">ga-20261018-sportsa2-eval-4-fd-recovery-v1</t>
        </is>
      </c>
      <c r="AD46" s="16" t="inlineStr">
        <is>
          <t xml:space="preserve">85b77f5e2a5b497fdc1f620649ba488fc783a245</t>
        </is>
      </c>
      <c r="AE46" s="16" t="inlineStr">
        <is>
          <t xml:space="preserve">原始结果 ↗</t>
        </is>
      </c>
      <c r="AF46" s="16" t="inlineStr">
        <is>
          <t xml:space="preserve">SID 06cfa6ba0f64
CFG 6f336505677d</t>
        </is>
      </c>
      <c r="AG46" s="16" t="inlineStr">
        <is>
          <t xml:space="preserve">新SID+scratch双表；量化FD工程恢复30 steps；final7900。</t>
        </is>
      </c>
    </row>
    <row r="47" ht="84" customHeight="1">
      <c r="A47" s="21" t="inlineStr">
        <is>
          <t xml:space="preserve">Sports.MLP.vs.B.Normal</t>
        </is>
      </c>
      <c r="B47" s="21" t="inlineStr">
        <is>
          <t xml:space="preserve">Sports.MLP.Formal</t>
        </is>
      </c>
      <c r="C47" s="21" t="inlineStr">
        <is>
          <t xml:space="preserve">Sports</t>
        </is>
      </c>
      <c r="D47" s="21" t="inlineStr">
        <is>
          <t xml:space="preserve">MLP</t>
        </is>
      </c>
      <c r="E47" s="21" t="inlineStr">
        <is>
          <t xml:space="preserve">MLP</t>
        </is>
      </c>
      <c r="F47" s="21" t="inlineStr">
        <is>
          <t xml:space="preserve">MLP</t>
        </is>
      </c>
      <c r="G47" s="22">
        <v>35598</v>
      </c>
      <c r="H47" s="21" t="inlineStr">
        <is>
          <t xml:space="preserve">Sports.B.Normal</t>
        </is>
      </c>
      <c r="I47" s="21" t="inlineStr">
        <is>
          <t xml:space="preserve">Sports-B-Normal</t>
        </is>
      </c>
      <c r="J47" s="21" t="inlineStr">
        <is>
          <t xml:space="preserve">参考性能差值；非严格单因素增益</t>
        </is>
      </c>
      <c r="K47" s="23">
        <v>0.018090903759002686</v>
      </c>
      <c r="L47" s="24">
        <f>IFERROR(K47-INDEX($K$9:$K$47,MATCH($H47,$A$9:$A$47,0)),"")</f>
        <v>-0.006095848977565764</v>
      </c>
      <c r="M47" s="25">
        <f>IFERROR((K47-INDEX($K$9:$K$47,MATCH($H47,$A$9:$A$47,0)))/INDEX($K$9:$K$47,MATCH($H47,$A$9:$A$47,0)),"")</f>
        <v>-0.25203255037826240655778607679367920027041008480942</v>
      </c>
      <c r="N47" s="23">
        <v>0.01131332479417324</v>
      </c>
      <c r="O47" s="24">
        <f>IFERROR(N47-INDEX($N$9:$N$47,MATCH($H47,$A$9:$A$47,0)),"")</f>
        <v>-0.004537101835012437</v>
      </c>
      <c r="P47" s="25">
        <f>IFERROR((N47-INDEX($N$9:$N$47,MATCH($H47,$A$9:$A$47,0)))/INDEX($N$9:$N$47,MATCH($H47,$A$9:$A$47,0)),"")</f>
        <v>-0.28624477694866517958823975673882755062642955923444</v>
      </c>
      <c r="Q47" s="23">
        <v>0.026405977085232735</v>
      </c>
      <c r="R47" s="24">
        <f>IFERROR(Q47-INDEX($Q$9:$Q$47,MATCH($H47,$A$9:$A$47,0)),"")</f>
        <v>-0.009523006156086921</v>
      </c>
      <c r="S47" s="25">
        <f>IFERROR((Q47-INDEX($Q$9:$Q$47,MATCH($H47,$A$9:$A$47,0)))/INDEX($Q$9:$Q$47,MATCH($H47,$A$9:$A$47,0)),"")</f>
        <v>-0.26505081126635146902663899836510323930818536905604</v>
      </c>
      <c r="T47" s="23">
        <v>0.014029854908585548</v>
      </c>
      <c r="U47" s="24">
        <f>IFERROR(T47-INDEX($T$9:$T$47,MATCH($H47,$A$9:$A$47,0)),"")</f>
        <v>-0.005599515512585642</v>
      </c>
      <c r="V47" s="25">
        <f>IFERROR((T47-INDEX($T$9:$T$47,MATCH($H47,$A$9:$A$47,0)))/INDEX($T$9:$T$47,MATCH($H47,$A$9:$A$47,0)),"")</f>
        <v>-0.28526210430805787789782030584274092250789774738827</v>
      </c>
      <c r="W47" s="21" t="inlineStr">
        <is>
          <t xml:space="preserve">Qwen2.5-7B-Instruct / 3584维</t>
        </is>
      </c>
      <c r="X47" s="21" t="inlineStr">
        <is>
          <t xml:space="preserve">R-Kmeans</t>
        </is>
      </c>
      <c r="Y47" s="21" t="inlineStr">
        <is>
          <t xml:space="preserve">共享</t>
        </is>
      </c>
      <c r="Z47" s="21" t="inlineStr">
        <is>
          <t xml:space="preserve">best step 4900 / 8b503607ef3a</t>
        </is>
      </c>
      <c r="AA47" s="22">
        <v>0</v>
      </c>
      <c r="AB47" s="22">
        <v>0</v>
      </c>
      <c r="AC47" s="21" t="inlineStr">
        <is>
          <t xml:space="preserve">gf-20261015-sports-mlp-formal-v1</t>
        </is>
      </c>
      <c r="AD47" s="21" t="inlineStr">
        <is>
          <t xml:space="preserve">4495c38459971aee36b00d881eb50f50fafa3159</t>
        </is>
      </c>
      <c r="AE47" s="21" t="inlineStr">
        <is>
          <t xml:space="preserve">原始结果 ↗</t>
        </is>
      </c>
      <c r="AF47" s="21" t="inlineStr">
        <is>
          <t xml:space="preserve">SID 89b2c2bbb94e
CFG 59a6a7566bf2</t>
        </is>
      </c>
      <c r="AG47" s="21" t="inlineStr">
        <is>
          <t xml:space="preserve">同一MLP模型的不同参考行；不计为额外实验。与B同SID/基础配置，独立权重与聚合结构仍不同。</t>
        </is>
      </c>
    </row>
    <row r="49" ht="30" customHeight="1">
      <c r="A49" s="1" t="inlineStr">
        <is>
          <t xml:space="preserve">主表结束｜39条记录；筛选仅覆盖A8:AG47。以下是同一工作表内的方法附录，不属于第二张数据表。</t>
        </is>
      </c>
    </row>
    <row r="51" ht="32" customHeight="1">
      <c r="A51" s="28" t="inlineStr">
        <is>
          <t xml:space="preserve">详细实验方法说明｜公共流程、A/B差异与11条路线</t>
        </is>
      </c>
    </row>
    <row r="52" ht="42" customHeight="1">
      <c r="A52" s="26" t="inlineStr">
        <is>
          <t xml:space="preserve">阅读与范围</t>
        </is>
      </c>
      <c r="C52" s="27" t="inlineStr">
        <is>
          <t xml:space="preserve">本表只整理已完成并验收的历史正式结果；不训练、不量化、不推理、不重新评价、不调用GPU、不访问new-server。主表39条比较记录，但只有36条不同结果：9论文、24正式Normal/Shuffle、3正式MLP。点击主表“路线”可跳到对应说明；MLP多个参考行共享实验结果ID。</t>
        </is>
      </c>
    </row>
    <row r="53" ht="32" customHeight="1">
      <c r="A53" s="28" t="inlineStr">
        <is>
          <t xml:space="preserve">公共方法：正常 GRID / TIGER 流程</t>
        </is>
      </c>
    </row>
    <row r="54" ht="42" customHeight="1">
      <c r="A54" s="26" t="inlineStr">
        <is>
          <t xml:space="preserve">文本→SID</t>
        </is>
      </c>
      <c r="C54" s="27" t="inlineStr">
        <is>
          <t xml:space="preserve">物品文本先经语义编码器得到连续embedding；相应量化方法产生前三位量化码，再按既有确定性规则添加第四位碰撞消歧。第四位不是第四个独立残差量化层。八条Normal所对应的保存配置均支持R-Kmeans（Toys A历史producer限制见各段）；Beauty/Toys MLP则沿用相应RQ-VAE+STE资产。</t>
        </is>
      </c>
    </row>
    <row r="55" ht="42" customHeight="1">
      <c r="A55" s="26" t="inlineStr">
        <is>
          <t xml:space="preserve">历史→推荐</t>
        </is>
      </c>
      <c r="C55" s="27" t="inlineStr">
        <is>
          <t xml:space="preserve">每个历史物品由四位SID表示。按码位加hierarchy offset，再lookup成向量；常规基线沿用SEP及原mask组织，Transformer Encoder编码按时间排列的物品历史。Decoder按照目标四位SID顺序逐位自回归生成，接续原Beam Search（正式生成K=10、should_check_prefix=False）和原evaluator。无额外过滤、补齐、重评分或重排原候选。</t>
        </is>
      </c>
    </row>
    <row r="56" ht="42" customHeight="1">
      <c r="A56" s="26" t="inlineStr">
        <is>
          <t xml:space="preserve">共享 / 双独立</t>
        </is>
      </c>
      <c r="C56" s="27" t="inlineStr">
        <is>
          <t xml:space="preserve">共享表：Encoder与Decoder访问同一组SID embedding参数。双独立表：码位语义和词表体系仍配套，但Encoder与Decoder各有独立、可训练的SID表参数。A系为双独立表，B系和三域MLP为共享表。表结构不是Shuffle开关造成的，跨A/B不能解释为单独Shuffle算法的区别。</t>
        </is>
      </c>
    </row>
    <row r="57" ht="32" customHeight="1">
      <c r="A57" s="28" t="inlineStr">
        <is>
          <t xml:space="preserve">学长原始 Shuffle：查表后、物品内部、测试时随机重排</t>
        </is>
      </c>
    </row>
    <row r="58" ht="42" customHeight="1">
      <c r="A58" s="26" t="inlineStr">
        <is>
          <t xml:space="preserve">具体张量路径</t>
        </is>
      </c>
      <c r="C58" s="27" t="inlineStr">
        <is>
          <t xml:space="preserve">原SID整数→hierarchy offset→embedding lookup→按[B,M,4,E]组织→在同一历史物品内重排前N个完整E维向量→恢复展平→后续Encoder。padding组保持不变。Shuffle3：[e1,e2,e3,e4]→[eπ1,eπ2,eπ3,e4]；Shuffle4：四位均可排列。不是把整数SID改成另一组量化码，也不跨物品交换、不改变历史时间顺序。</t>
        </is>
      </c>
    </row>
    <row r="59" ht="42" customHeight="1">
      <c r="A59" s="26" t="inlineStr">
        <is>
          <t xml:space="preserve">真实随机机制</t>
        </is>
      </c>
      <c r="C59" s="27" t="inlineStr">
        <is>
          <t xml:space="preserve">冻结原函数用torch.rand(B,M,N).argsort(dim=2)为各物品occurrence、每次Encoder调用采样排列，允许恒等排列；同一batch中的loss与generate调用也可能得到不同排列。正式路径依赖is_testing和shuffle_embedding_on_test / hierarchies_to_shuffle；正常训练不施加该测试扰动。追踪使用独立generator重建排列，不额外消耗或重置正式全局随机流。</t>
        </is>
      </c>
    </row>
    <row r="60" ht="42" customHeight="1">
      <c r="A60" s="26" t="inlineStr">
        <is>
          <t xml:space="preserve">保持的部分</t>
        </is>
      </c>
      <c r="C60" s="27" t="inlineStr">
        <is>
          <t xml:space="preserve">Normal与其Shuffle3/4严格复用同一checkpoint、同一SID及本域完整testing目标。量化器、目标SID、Decoder四位自回归顺序、Beam与evaluator不因Shuffle改变。指标接近不证明逐用户推荐不变，更不证明数学上的严格置换不变。</t>
        </is>
      </c>
    </row>
    <row r="61" ht="32" customHeight="1">
      <c r="A61" s="28" t="inlineStr">
        <is>
          <t xml:space="preserve">A 方案：继承学长双表 Shuffle 源码并工程适配</t>
        </is>
      </c>
    </row>
    <row r="62" ht="42" customHeight="1">
      <c r="A62" s="26" t="inlineStr">
        <is>
          <t xml:space="preserve">继承与适配</t>
        </is>
      </c>
      <c r="C62" s="27" t="inlineStr">
        <is>
          <t xml:space="preserve">AuthorShuffleModel(_RuntimeBridge, OriginalShuffleModel)以学长双独立SID表模型为依据。运行桥接、完整物品组校验、采样追踪和受控回放用于兼容与验证；正式Shuffle仍通过super()调用冻结原始随机排列函数。受控回放是工程检查入口，不是正式结果的替代采样方案。不能把“继承并适配”写成未做修改的完整历史执行。</t>
        </is>
      </c>
    </row>
    <row r="63" ht="32" customHeight="1">
      <c r="A63" s="28" t="inlineStr">
        <is>
          <t xml:space="preserve">B 方案：共享表 Baseline 的 Encoder lookup hook</t>
        </is>
      </c>
    </row>
    <row r="64" ht="42" customHeight="1">
      <c r="A64" s="26" t="inlineStr">
        <is>
          <t xml:space="preserve">接入与作用域</t>
        </is>
      </c>
      <c r="C64" s="27" t="inlineStr">
        <is>
          <t xml:space="preserve">BaselineShuffleModel以已有共享SID表的SemanticIDEncoderDecoder为基础，并未把完整生成器替换成学长双表架构。在encoder_forward_pass作用域记录mask，对Encoder的SID lookup输出设置hook；离开该作用域恢复状态，Decoder lookup不受重排。OFF/Normal直接返回原lookup张量。</t>
        </is>
      </c>
    </row>
    <row r="65" ht="42" customHeight="1">
      <c r="A65" s="26" t="inlineStr">
        <is>
          <t xml:space="preserve">相同随机逻辑</t>
        </is>
      </c>
      <c r="C65" s="27" t="inlineStr">
        <is>
          <t xml:space="preserve">B从冻结学长文件提取唯一_shuffle_hierarchical_embeddings函数体，正式路径复用同一rand/argsort逻辑；校验完整四码位组、padding不变、Shuffle3第四位不变。没有新增替代Decoder、Beam、评分或evaluator。B不是另一种Shuffle算法，而是对共享表Baseline的接入适配。</t>
        </is>
      </c>
    </row>
    <row r="66" ht="32" customHeight="1">
      <c r="A66" s="28" t="inlineStr">
        <is>
          <t xml:space="preserve">Beauty-A｜独立路线说明</t>
        </is>
      </c>
    </row>
    <row r="67" ht="42" customHeight="1">
      <c r="A67" s="26" t="inlineStr">
        <is>
          <t xml:space="preserve">目的与实际处理</t>
        </is>
      </c>
      <c r="C67" s="27" t="inlineStr">
        <is>
          <t xml:space="preserve">目的：检查学长双表派生模型对历史码位向量顺序的敏感性。使用T5-small的512维文本embedding与R-Kmeans SID，保留双独立表；使用既有step4800 checkpoint，未在本次统计中重新训练。A适配位于查表后、Encoder前。与Beauty B不同之处包含文本编码器、SID、表结构和权重，不能把A/B差异只归因于Shuffle。</t>
        </is>
      </c>
    </row>
    <row r="68" ht="42" customHeight="1">
      <c r="A68" s="26" t="inlineStr">
        <is>
          <t xml:space="preserve">测试与对照</t>
        </is>
      </c>
      <c r="C68" s="27" t="inlineStr">
        <is>
          <t xml:space="preserve">三条件：Normal、Shuffle3、Shuffle4。共同使用step4800 checkpoint及下列同一SID，完整testing覆盖22363个目标；各Shuffle仅对比本路线Normal。接入为A类双表继承适配，Decoder仍四位自回归；候选处理沿用原evaluator。</t>
        </is>
      </c>
    </row>
    <row r="69" ht="42" customHeight="1">
      <c r="A69" s="26" t="inlineStr">
        <is>
          <t xml:space="preserve">checkpoint身份</t>
        </is>
      </c>
      <c r="C69" s="27" t="inlineStr">
        <is>
          <t xml:space="preserve">/home/bwwu/grid-audits/sid-extensions-p0/beauty-extensions/assets/21b174d051548d28eadc995c365c6c7beaf7410535fe726b8f720e9555a04e00/checkpoint_epoch=000_step=004800.ckpt
SHA-256: 21b174d051548d28eadc995c365c6c7beaf7410535fe726b8f720e9555a04e00</t>
        </is>
      </c>
    </row>
    <row r="70" ht="42" customHeight="1">
      <c r="A70" s="26" t="inlineStr">
        <is>
          <t xml:space="preserve">SID身份</t>
        </is>
      </c>
      <c r="C70" s="27" t="inlineStr">
        <is>
          <t xml:space="preserve">/home/bwwu/grid-audits/sid-extensions-p0/beauty-extensions/assets/188af0341d8c232de73acd9aa7fc3390db8d430c8c71a94ec9816962d3d94f68/merged_predictions_tensor.pt
SHA-256: 188af0341d8c232de73acd9aa7fc3390db8d430c8c71a94ec9816962d3d94f68</t>
        </is>
      </c>
    </row>
    <row r="71" ht="70" customHeight="1">
      <c r="A71" s="26" t="inlineStr">
        <is>
          <t xml:space="preserve">有效配置与源码</t>
        </is>
      </c>
      <c r="C71" s="27" t="inlineStr">
        <is>
          <t xml:space="preserve">原配置资产: /home/bwwu/grid-audits/sid-extensions-p0/beauty-extensions/assets/6f336505677ded65b16023e0cb798df2497f9c6c8fb34ff400dcb5ccc8e0dc9d/config.yaml
配置SHA-256: 6f336505677ded65b16023e0cb798df2497f9c6c8fb34ff400dcb5ccc8e0dc9d
正式评价执行commit: 2cf4c793c2e0b2e9dc7e7a9269f5e54d5c667896
部署snapshot SHA-256: 3870cb40eb8d040a468ff3509e91703da7e833f90f8c279772b35d296b60d04a</t>
        </is>
      </c>
    </row>
    <row r="72" ht="32" customHeight="1">
      <c r="A72" s="28" t="inlineStr">
        <is>
          <t xml:space="preserve">Beauty-B｜独立路线说明</t>
        </is>
      </c>
    </row>
    <row r="73" ht="42" customHeight="1">
      <c r="A73" s="26" t="inlineStr">
        <is>
          <t xml:space="preserve">目的与实际处理</t>
        </is>
      </c>
      <c r="C73" s="27" t="inlineStr">
        <is>
          <t xml:space="preserve">目的：在已有共享表Baseline上执行相同学长Shuffle。上游Qwen2.5-7B-Instruct的3584维文本表示经R-Kmeans生成SID，使用step12500 checkpoint。通过Encoder lookup hook接入，Decoder共享表本身保留；与Beauty A的T5/双表/SID/权重不同。</t>
        </is>
      </c>
    </row>
    <row r="74" ht="42" customHeight="1">
      <c r="A74" s="26" t="inlineStr">
        <is>
          <t xml:space="preserve">测试与对照</t>
        </is>
      </c>
      <c r="C74" s="27" t="inlineStr">
        <is>
          <t xml:space="preserve">三条件：Normal、Shuffle3、Shuffle4。共同使用step12500 checkpoint及下列同一SID，完整testing覆盖22363个目标；各Shuffle仅对比本路线Normal。接入为B类共享表Encoder lookup hook，Decoder仍四位自回归；候选处理沿用原evaluator。</t>
        </is>
      </c>
    </row>
    <row r="75" ht="42" customHeight="1">
      <c r="A75" s="26" t="inlineStr">
        <is>
          <t xml:space="preserve">checkpoint身份</t>
        </is>
      </c>
      <c r="C75" s="27" t="inlineStr">
        <is>
          <t xml:space="preserve">/data/bwwu/sid-extensions-assets/563dc50b1c7e/experiments/beauty_rkmeans_qwen_20261010_012253/tiger_train_test/checkpoints/checkpoint_epoch=000_step=012500.ckpt
SHA-256: 3d8f03cf042293f2f7f02132c9d072f573f671d9550d567edd1754f50e53e605</t>
        </is>
      </c>
    </row>
    <row r="76" ht="42" customHeight="1">
      <c r="A76" s="26" t="inlineStr">
        <is>
          <t xml:space="preserve">SID身份</t>
        </is>
      </c>
      <c r="C76" s="27" t="inlineStr">
        <is>
          <t xml:space="preserve">/data/bwwu/sid-extensions-assets/563dc50b1c7e/experiments/beauty_rkmeans_qwen_20261010_012253/semantic_ids.pt
SHA-256: d41adcfb22a9a47d5e0424c068f4c74f33cc9fdbaf5db08540fbfa0e3d720e18</t>
        </is>
      </c>
    </row>
    <row r="77" ht="70" customHeight="1">
      <c r="A77" s="26" t="inlineStr">
        <is>
          <t xml:space="preserve">有效配置与源码</t>
        </is>
      </c>
      <c r="C77" s="27" t="inlineStr">
        <is>
          <t xml:space="preserve">原配置资产: /data/bwwu/sid-extensions-assets/563dc50b1c7e/experiments/beauty_rkmeans_qwen_20261010_012253/tiger_train_test/.hydra/config.yaml
配置SHA-256: 790e0d16c67823c6cad403013ae0f152ef61cebcd548715c113376c7a0ecef33
正式评价执行commit: 2cf4c793c2e0b2e9dc7e7a9269f5e54d5c667896
部署snapshot SHA-256: 3870cb40eb8d040a468ff3509e91703da7e833f90f8c279772b35d296b60d04a</t>
        </is>
      </c>
    </row>
    <row r="78" ht="32" customHeight="1">
      <c r="A78" s="28" t="inlineStr">
        <is>
          <t xml:space="preserve">Toys-B｜独立路线说明</t>
        </is>
      </c>
    </row>
    <row r="79" ht="42" customHeight="1">
      <c r="A79" s="26" t="inlineStr">
        <is>
          <t xml:space="preserve">目的与实际处理</t>
        </is>
      </c>
      <c r="C79" s="27" t="inlineStr">
        <is>
          <t xml:space="preserve">目的：在Toys共享表Baseline中测试同物品内向量重排。上游Qwen2.5-7B-Instruct、3584维、R-Kmeans；保留既有step6200 checkpoint。B类Encoder作用域hook复用学长排列逻辑。它与Toys A两候选使用不同SID、表结构和权重，不能跨路线计算Shuffle主差值。</t>
        </is>
      </c>
    </row>
    <row r="80" ht="42" customHeight="1">
      <c r="A80" s="26" t="inlineStr">
        <is>
          <t xml:space="preserve">测试与对照</t>
        </is>
      </c>
      <c r="C80" s="27" t="inlineStr">
        <is>
          <t xml:space="preserve">三条件：Normal、Shuffle3、Shuffle4。共同使用step6200 checkpoint及下列同一SID，完整testing覆盖19412个目标；各Shuffle仅对比本路线Normal。接入为B类共享表Encoder lookup hook，Decoder仍四位自回归；候选处理沿用原evaluator。</t>
        </is>
      </c>
    </row>
    <row r="81" ht="42" customHeight="1">
      <c r="A81" s="26" t="inlineStr">
        <is>
          <t xml:space="preserve">checkpoint身份</t>
        </is>
      </c>
      <c r="C81" s="27" t="inlineStr">
        <is>
          <t xml:space="preserve">/data/bwwu/sid-extensions-assets/563dc50b1c7e/experiments/toys_rkmeans_qwen_20261010_093036/tiger_train_test_val1600_20261010_112259/checkpoints/checkpoint_epoch=000_step=006200.ckpt
SHA-256: f778135f116c019f5beb9e627c2046e6ee3c4edade4139a0810995df692e47d5</t>
        </is>
      </c>
    </row>
    <row r="82" ht="42" customHeight="1">
      <c r="A82" s="26" t="inlineStr">
        <is>
          <t xml:space="preserve">SID身份</t>
        </is>
      </c>
      <c r="C82" s="27" t="inlineStr">
        <is>
          <t xml:space="preserve">/data/bwwu/sid-extensions-assets/563dc50b1c7e/experiments/toys_rkmeans_qwen_20261010_093036/semantic_ids.pt
SHA-256: c6d516be6b65708137e8eea078736b24f88fd50b45c132ac376947dd71c132ed</t>
        </is>
      </c>
    </row>
    <row r="83" ht="70" customHeight="1">
      <c r="A83" s="26" t="inlineStr">
        <is>
          <t xml:space="preserve">有效配置与源码</t>
        </is>
      </c>
      <c r="C83" s="27" t="inlineStr">
        <is>
          <t xml:space="preserve">原配置资产: /data/bwwu/sid-extensions-assets/563dc50b1c7e/experiments/toys_rkmeans_qwen_20261010_093036/tiger_train_test_val1600_20261010_112259/.hydra/config.yaml
配置SHA-256: 38edf61240a1ff26ae57e34bd508def3581261fcf5511d7a8563e9e773e8f4ed
正式评价执行commit: c8acac42d5e13ca80af75faac5d1f7bc33fb589f
部署snapshot SHA-256: f892ae7892f8c981ffe3494368fbaa6a88f693605c2d0c902581cfeea0d64c50</t>
        </is>
      </c>
    </row>
    <row r="84" ht="32" customHeight="1">
      <c r="A84" s="28" t="inlineStr">
        <is>
          <t xml:space="preserve">Toys-A-5300｜独立路线说明</t>
        </is>
      </c>
    </row>
    <row r="85" ht="42" customHeight="1">
      <c r="A85" s="26" t="inlineStr">
        <is>
          <t xml:space="preserve">目的与实际处理</t>
        </is>
      </c>
      <c r="C85" s="27" t="inlineStr">
        <is>
          <t xml:space="preserve">目的：保留并检查学长双表候选step5300。原保存配置明确ResidualQuantization→MiniBatchKMeans；但T5EncoderModel factory、Qwen模型路径和声明3584维/实际512维的记录存在冲突，历史上游producer未唯一绑定，不能写成已证实T5或Qwen。A适配复用原随机函数；与A-5000共用SID但checkpoint不同。</t>
        </is>
      </c>
    </row>
    <row r="86" ht="42" customHeight="1">
      <c r="A86" s="26" t="inlineStr">
        <is>
          <t xml:space="preserve">测试与对照</t>
        </is>
      </c>
      <c r="C86" s="27" t="inlineStr">
        <is>
          <t xml:space="preserve">三条件：Normal、Shuffle3、Shuffle4。共同使用step5300 checkpoint及下列同一SID，完整testing覆盖19412个目标；各Shuffle仅对比本路线Normal。接入为A类双表继承适配，Decoder仍四位自回归；候选处理沿用原evaluator。</t>
        </is>
      </c>
    </row>
    <row r="87" ht="42" customHeight="1">
      <c r="A87" s="26" t="inlineStr">
        <is>
          <t xml:space="preserve">checkpoint身份</t>
        </is>
      </c>
      <c r="C87" s="27" t="inlineStr">
        <is>
          <t xml:space="preserve">/home/bwwu/grid-audits/sid-extensions-p0/grid-a-launch-20261017/assets/A800_GRID/logs/train/runs/2025-10-29/23-42-04/checkpoints/checkpoint_epoch=000_step=005300.ckpt
SHA-256: 5e88fac352f603cb0babad1935f7044072b1e75975bf9b41c30fda11f70435c5</t>
        </is>
      </c>
    </row>
    <row r="88" ht="42" customHeight="1">
      <c r="A88" s="26" t="inlineStr">
        <is>
          <t xml:space="preserve">SID身份</t>
        </is>
      </c>
      <c r="C88" s="27" t="inlineStr">
        <is>
          <t xml:space="preserve">/home/bwwu/grid-audits/sid-extensions-p0/grid-a-launch-20261017/assets/A800_GRID/logs/inference/runs/2025-09-17/21-57-54/pickle/merged_predictions_tensor.pt
SHA-256: a487a4bdadef63f3a87386ddce52ec03f4771bedbaf554f63272c45fe373e7d1</t>
        </is>
      </c>
    </row>
    <row r="89" ht="70" customHeight="1">
      <c r="A89" s="26" t="inlineStr">
        <is>
          <t xml:space="preserve">有效配置与源码</t>
        </is>
      </c>
      <c r="C89" s="27" t="inlineStr">
        <is>
          <t xml:space="preserve">原配置资产: /home/bwwu/grid-audits/sid-extensions-p0/grid-a-launch-20261017/assets/A800_GRID/logs/train/runs/2025-10-29/23-42-04/.hydra/config.yaml
配置SHA-256: b7008a5f603bfa76eaeb25565b8a917717895e22689a6b79a79298d23d930e78
正式评价执行commit: b44399926c98369191c2ff5c2425377c8c07d3c8
部署snapshot SHA-256: b6203414ee58a40034d8a5e9c311ff509d897002804c2cb81f4c83bf419d2d41</t>
        </is>
      </c>
    </row>
    <row r="90" ht="32" customHeight="1">
      <c r="A90" s="28" t="inlineStr">
        <is>
          <t xml:space="preserve">Toys-A-5000｜独立路线说明</t>
        </is>
      </c>
    </row>
    <row r="91" ht="42" customHeight="1">
      <c r="A91" s="26" t="inlineStr">
        <is>
          <t xml:space="preserve">目的与实际处理</t>
        </is>
      </c>
      <c r="C91" s="27" t="inlineStr">
        <is>
          <t xml:space="preserve">目的：保留第二个学长双表候选step5000，而非按test分数从两候选中择优。与A-5300使用完全相同SID，但来自不同checkpoint及保存训练配置。量化保存配置支持R-Kmeans，文本encoder/producer冲突同样保留。A类查表后Shuffle；不重新训练或改变原目标。</t>
        </is>
      </c>
    </row>
    <row r="92" ht="42" customHeight="1">
      <c r="A92" s="26" t="inlineStr">
        <is>
          <t xml:space="preserve">测试与对照</t>
        </is>
      </c>
      <c r="C92" s="27" t="inlineStr">
        <is>
          <t xml:space="preserve">三条件：Normal、Shuffle3、Shuffle4。共同使用step5000 checkpoint及下列同一SID，完整testing覆盖19412个目标；各Shuffle仅对比本路线Normal。接入为A类双表继承适配，Decoder仍四位自回归；候选处理沿用原evaluator。</t>
        </is>
      </c>
    </row>
    <row r="93" ht="42" customHeight="1">
      <c r="A93" s="26" t="inlineStr">
        <is>
          <t xml:space="preserve">checkpoint身份</t>
        </is>
      </c>
      <c r="C93" s="27" t="inlineStr">
        <is>
          <t xml:space="preserve">/home/bwwu/grid-audits/sid-extensions-p0/grid-a-launch-20261017/assets/A800_GRID/logs/train/runs/2025-11-03/02-31-15/checkpoints/checkpoint_epoch=000_step=005000.ckpt
SHA-256: ed627a41aae73d941fe354e2c29d99d1e9d768e407c9d83eb2c401ca2f562090</t>
        </is>
      </c>
    </row>
    <row r="94" ht="42" customHeight="1">
      <c r="A94" s="26" t="inlineStr">
        <is>
          <t xml:space="preserve">SID身份</t>
        </is>
      </c>
      <c r="C94" s="27" t="inlineStr">
        <is>
          <t xml:space="preserve">/home/bwwu/grid-audits/sid-extensions-p0/grid-a-launch-20261017/assets/A800_GRID/logs/inference/runs/2025-09-17/21-57-54/pickle/merged_predictions_tensor.pt
SHA-256: a487a4bdadef63f3a87386ddce52ec03f4771bedbaf554f63272c45fe373e7d1</t>
        </is>
      </c>
    </row>
    <row r="95" ht="70" customHeight="1">
      <c r="A95" s="26" t="inlineStr">
        <is>
          <t xml:space="preserve">有效配置与源码</t>
        </is>
      </c>
      <c r="C95" s="27" t="inlineStr">
        <is>
          <t xml:space="preserve">原配置资产: /home/bwwu/grid-audits/sid-extensions-p0/grid-a-launch-20261017/assets/A800_GRID/logs/train/runs/2025-11-03/02-31-15/.hydra/config.yaml
配置SHA-256: f14ab2ee7c5f1dbaa4a69b474eebb40118c16b3a3e4e433af8b844d8ce9b07b2
正式评价执行commit: b44399926c98369191c2ff5c2425377c8c07d3c8
部署snapshot SHA-256: b6203414ee58a40034d8a5e9c311ff509d897002804c2cb81f4c83bf419d2d41</t>
        </is>
      </c>
    </row>
    <row r="96" ht="32" customHeight="1">
      <c r="A96" s="28" t="inlineStr">
        <is>
          <t xml:space="preserve">Sports-B｜独立路线说明</t>
        </is>
      </c>
    </row>
    <row r="97" ht="42" customHeight="1">
      <c r="A97" s="26" t="inlineStr">
        <is>
          <t xml:space="preserve">目的与实际处理</t>
        </is>
      </c>
      <c r="C97" s="27" t="inlineStr">
        <is>
          <t xml:space="preserve">目的：在Sports既有共享表Qwen/R-Kmeans Baseline上测试Shuffle。Qwen2.5-7B-Instruct文本表示3584维，step9500 checkpoint，通过B类Encoder lookup hook复用原Shuffle函数。与Sports A1共享同一SID，但A1是另行scratch训练的双表模型。</t>
        </is>
      </c>
    </row>
    <row r="98" ht="42" customHeight="1">
      <c r="A98" s="26" t="inlineStr">
        <is>
          <t xml:space="preserve">测试与对照</t>
        </is>
      </c>
      <c r="C98" s="27" t="inlineStr">
        <is>
          <t xml:space="preserve">三条件：Normal、Shuffle3、Shuffle4。共同使用step9500 checkpoint及下列同一SID，完整testing覆盖35598个目标；各Shuffle仅对比本路线Normal。接入为B类共享表Encoder lookup hook，Decoder仍四位自回归；候选处理沿用原evaluator。</t>
        </is>
      </c>
    </row>
    <row r="99" ht="42" customHeight="1">
      <c r="A99" s="26" t="inlineStr">
        <is>
          <t xml:space="preserve">checkpoint身份</t>
        </is>
      </c>
      <c r="C99" s="27" t="inlineStr">
        <is>
          <t xml:space="preserve">/data/bwwu/sid-extensions-assets/563dc50b1c7e/experiments/sports_rkmeans_qwen_20261010_093035/tiger_train_test_val1600_20261010_112259/checkpoints/checkpoint_epoch=000_step=009500.ckpt
SHA-256: 29fcf86753cf46fcdac816569372986497f4c64c4921a9cdbf617c04f4d3cf98</t>
        </is>
      </c>
    </row>
    <row r="100" ht="42" customHeight="1">
      <c r="A100" s="26" t="inlineStr">
        <is>
          <t xml:space="preserve">SID身份</t>
        </is>
      </c>
      <c r="C100" s="27" t="inlineStr">
        <is>
          <t xml:space="preserve">/data/bwwu/sid-extensions-assets/563dc50b1c7e/experiments/sports_rkmeans_qwen_20261010_093035/semantic_ids.pt
SHA-256: 89b2c2bbb94eda26ef0e147404fbff29e6ec8246fbdc754c5d885f313f2de293</t>
        </is>
      </c>
    </row>
    <row r="101" ht="70" customHeight="1">
      <c r="A101" s="26" t="inlineStr">
        <is>
          <t xml:space="preserve">有效配置与源码</t>
        </is>
      </c>
      <c r="C101" s="27" t="inlineStr">
        <is>
          <t xml:space="preserve">原配置资产: /data/bwwu/sid-extensions-assets/563dc50b1c7e/experiments/sports_rkmeans_qwen_20261010_093035/tiger_train_test_val1600_20261010_112259/.hydra/config.yaml
配置SHA-256: 59a6a7566bf2b3ed1dce34806cc454ece57c2cb5c84f67b32964687adfa15e24
正式评价执行commit: c8acac42d5e13ca80af75faac5d1f7bc33fb589f
部署snapshot SHA-256: f892ae7892f8c981ffe3494368fbaa6a88f693605c2d0c902581cfeea0d64c50</t>
        </is>
      </c>
    </row>
    <row r="102" ht="32" customHeight="1">
      <c r="A102" s="28" t="inlineStr">
        <is>
          <t xml:space="preserve">Sports-A1｜独立路线说明</t>
        </is>
      </c>
    </row>
    <row r="103" ht="42" customHeight="1">
      <c r="A103" s="26" t="inlineStr">
        <is>
          <t xml:space="preserve">目的与实际处理</t>
        </is>
      </c>
      <c r="C103" s="27" t="inlineStr">
        <is>
          <t xml:space="preserve">目的：在Sports Qwen/R-Kmeans SID条件下复现学长双独立表生成器。复用Sports B的同一SID，完整模型从零初始化训练；best step8600、final step9600，按验证Recall@5选模、patience10正常早停。正式三条件均使用best8600。它与B同时涉及表结构及独立训练，差异不只是启用Shuffle。</t>
        </is>
      </c>
    </row>
    <row r="104" ht="42" customHeight="1">
      <c r="A104" s="26" t="inlineStr">
        <is>
          <t xml:space="preserve">测试与对照</t>
        </is>
      </c>
      <c r="C104" s="27" t="inlineStr">
        <is>
          <t xml:space="preserve">三条件：Normal、Shuffle3、Shuffle4。共同使用step8600 checkpoint及下列同一SID，完整testing覆盖35598个目标；各Shuffle仅对比本路线Normal。接入为A类双表继承适配，Decoder仍四位自回归；候选处理沿用原evaluator。</t>
        </is>
      </c>
    </row>
    <row r="105" ht="42" customHeight="1">
      <c r="A105" s="26" t="inlineStr">
        <is>
          <t xml:space="preserve">checkpoint身份</t>
        </is>
      </c>
      <c r="C105" s="27" t="inlineStr">
        <is>
          <t xml:space="preserve">/home/bwwu/grid-audits/sid-extensions-p0/jobs/ga-20261017-sportsa1-train-v1/output/checkpoints/checkpoint_epoch=000_step=008600.ckpt
SHA-256: 0f2ce9ab6155eb9864363c32972d9f9ab775291e58f392b56e1db9901f3cb6f1</t>
        </is>
      </c>
    </row>
    <row r="106" ht="42" customHeight="1">
      <c r="A106" s="26" t="inlineStr">
        <is>
          <t xml:space="preserve">SID身份</t>
        </is>
      </c>
      <c r="C106" s="27" t="inlineStr">
        <is>
          <t xml:space="preserve">/data/bwwu/sid-extensions-assets/563dc50b1c7e/experiments/sports_rkmeans_qwen_20261010_093035/semantic_ids.pt
SHA-256: 89b2c2bbb94eda26ef0e147404fbff29e6ec8246fbdc754c5d885f313f2de293</t>
        </is>
      </c>
    </row>
    <row r="107" ht="56" customHeight="1">
      <c r="A107" s="26" t="inlineStr">
        <is>
          <t xml:space="preserve">有效配置与源码</t>
        </is>
      </c>
      <c r="C107" s="27" t="inlineStr">
        <is>
          <t xml:space="preserve">本索引未复制配置资产字段；有效训练配置、选模及严格加载证据见Sports A1固定独立审核。
正式评价执行commit: b44399926c98369191c2ff5c2425377c8c07d3c8
部署snapshot SHA-256: b6203414ee58a40034d8a5e9c311ff509d897002804c2cb81f4c83bf419d2d41</t>
        </is>
      </c>
    </row>
    <row r="108" ht="56" customHeight="1">
      <c r="A108" s="26" t="inlineStr">
        <is>
          <t xml:space="preserve">实际训练有效配置</t>
        </is>
      </c>
      <c r="C108" s="27" t="inlineStr">
        <is>
          <t xml:space="preserve">seed42、32-true；Adam lr=.001、weight_decay=.0001、scheduler=None；raw16、accum16、名义有效batch256 raw records、val1600 loader batches；96次完整验证，每次35598目标。base配置SHA6f336505677ded65b16023e0cb798df2497f9c6c8fb34ff400dcb5ccc8e0dc9d；实际展开used_config.json是另一文件：/home/bwwu/grid-audits/sid-extensions-p0/jobs/ga-20261017-sportsa1-train-v1/output/used_config.json，14202字节，SHA-256 1e3b608a2037bce5c2934a6cd220fd2ffc1c5b494fa617b4314fc672f4c6320a。训练协议SHA-256 9d3823c2ada022f479fb3b8ac4e36bc2cf09267281db5b15edc636bec0a45c7e。</t>
        </is>
      </c>
    </row>
    <row r="109" ht="32" customHeight="1">
      <c r="A109" s="28" t="inlineStr">
        <is>
          <t xml:space="preserve">Sports-A2｜独立路线说明</t>
        </is>
      </c>
    </row>
    <row r="110" ht="42" customHeight="1">
      <c r="A110" s="26" t="inlineStr">
        <is>
          <t xml:space="preserve">目的与实际处理</t>
        </is>
      </c>
      <c r="C110" s="27" t="inlineStr">
        <is>
          <t xml:space="preserve">目的：在T5-small的512维embedding所产生的新R-Kmeans SID下，从零训练学长双表生成器。保留三层量化与第四位确定性碰撞消歧。原量化遇EMFILE后，仅通过A2专用item-ID collate把小Tensor列表堆叠为连续Tensor并作FD保护；不改变ID/embedding配对或量化计算。复用已有T5编码，双卡量化真实完成30 optimizer steps；新SID训练best6900、final7900，patience10正常早停。A1/A2同时改变SID来源并独立训练，不是单因素SID因果实验。</t>
        </is>
      </c>
    </row>
    <row r="111" ht="42" customHeight="1">
      <c r="A111" s="26" t="inlineStr">
        <is>
          <t xml:space="preserve">测试与对照</t>
        </is>
      </c>
      <c r="C111" s="27" t="inlineStr">
        <is>
          <t xml:space="preserve">三条件：Normal、Shuffle3、Shuffle4。共同使用step6900 checkpoint及下列同一SID，完整testing覆盖35598个目标；各Shuffle仅对比本路线Normal。接入为A类双表继承适配，Decoder仍四位自回归；候选处理沿用原evaluator。</t>
        </is>
      </c>
    </row>
    <row r="112" ht="42" customHeight="1">
      <c r="A112" s="26" t="inlineStr">
        <is>
          <t xml:space="preserve">checkpoint身份</t>
        </is>
      </c>
      <c r="C112" s="27" t="inlineStr">
        <is>
          <t xml:space="preserve">/home/bwwu/grid-audits/sid-extensions-p0/jobs/ga-20261018-sportsa2-train-fd-recovery-v1/output/checkpoints/checkpoint_epoch=000_step=006900.ckpt
SHA-256: 1287c3f60404726dbda165d5242ba17d40ecaf6520ded69d6e3165170586513d</t>
        </is>
      </c>
    </row>
    <row r="113" ht="42" customHeight="1">
      <c r="A113" s="26" t="inlineStr">
        <is>
          <t xml:space="preserve">SID身份</t>
        </is>
      </c>
      <c r="C113" s="27" t="inlineStr">
        <is>
          <t xml:space="preserve">/home/bwwu/grid-audits/sid-extensions-p0/jobs/ga-20261018-sportsa2-quantize-fd-recovery-v1/output/semantic_ids.pt
SHA-256: 06cfa6ba0f64d6c68e0e94c4111edd51d086796e8cdb474ac3fcd424a4a2adf0</t>
        </is>
      </c>
    </row>
    <row r="114" ht="70" customHeight="1">
      <c r="A114" s="26" t="inlineStr">
        <is>
          <t xml:space="preserve">有效配置与源码</t>
        </is>
      </c>
      <c r="C114" s="27" t="inlineStr">
        <is>
          <t xml:space="preserve">原配置资产: /home/bwwu/grid-audits/sid-extensions-p0/grid-a-launch-20261017/assets/A800_GRID/logs/train/runs/2025-11-03/02-47-09/.hydra/config.yaml
配置SHA-256: 6f336505677ded65b16023e0cb798df2497f9c6c8fb34ff400dcb5ccc8e0dc9d
正式评价执行commit: 85b77f5e2a5b497fdc1f620649ba488fc783a245
部署snapshot SHA-256: 22286966cd544773f21b96e4185d56c66afd7183fdc4e8888716d8ea1d77acb2</t>
        </is>
      </c>
    </row>
    <row r="115" ht="42" customHeight="1">
      <c r="A115" s="26" t="inlineStr">
        <is>
          <t xml:space="preserve">A2恢复边界</t>
        </is>
      </c>
      <c r="C115" s="27" t="inlineStr">
        <is>
          <t xml:space="preserve">原失败job ga-20261017-sportsa2-quantize-v1保留；恢复job ga-20261018-sportsa2-quantize-fd-recovery-v1，新训练ga-20261018-sportsa2-train-fd-recovery-v1。原T5编码执行b44399926c98369191c2ff5c2425377c8c07d3c8，修复后量化/训练/评价执行85b77f5e2a5b497fdc1f620649ba488fc783a245。属于已完成的受控工程恢复与方法复现，不是找回学长原始Sports权重。</t>
        </is>
      </c>
    </row>
    <row r="116" ht="32" customHeight="1">
      <c r="A116" s="28" t="inlineStr">
        <is>
          <t xml:space="preserve">MLP 公共实现：有序逐物品聚合，Decoder保留自回归</t>
        </is>
      </c>
    </row>
    <row r="117" ht="42" customHeight="1">
      <c r="A117" s="26" t="inlineStr">
        <is>
          <t xml:space="preserve">张量与网络</t>
        </is>
      </c>
      <c r="C117" s="27" t="inlineStr">
        <is>
          <t xml:space="preserve">SID按码位offset后lookup；[B,M,4,E]依原顺序reshape/Concat为[B,M,4E]，执行Linear(4E,2E)→ReLU→Dropout(0.1)→Linear(2E,E)。本次E=128，即512→256→128，同一MLP作用于各历史物品，输出[B,M,E]。这是有序拼接，不是求和、平均或无序池化，本身不保证数学上的置换不变。</t>
        </is>
      </c>
    </row>
    <row r="118" ht="42" customHeight="1">
      <c r="A118" s="26" t="inlineStr">
        <is>
          <t xml:space="preserve">mask / SEP / 表</t>
        </is>
      </c>
      <c r="C118" s="27" t="inlineStr">
        <is>
          <t xml:space="preserve">实际原件设置sep_token=None，不再插入SEP；mask reshape[B,M,4]后取[:,:,−1]，即第四码位mask，而非OR/max。适配层拒绝部分有效的四码位组。MLP encoder/decoder SID表共享。历史四个码位输入聚合成一个物品级Encoder token；Encoder长度与普通保留SEP的四码位基线不同。</t>
        </is>
      </c>
    </row>
    <row r="119" ht="42" customHeight="1">
      <c r="A119" s="26" t="inlineStr">
        <is>
          <t xml:space="preserve">训练与生成</t>
        </is>
      </c>
      <c r="C119" s="27" t="inlineStr">
        <is>
          <t xml:space="preserve">三域均独立scratch、全参数学习新MLP及生成器参数；不是已有Normal模型的零参数测试开关。Decoder继续按四位目标SID逐位自回归预测，保留前缀依赖、Beam及原evaluator，因此MLP不等于Parallel。Shuffle是测试时输入扰动；MLP是改变Encoder物品表示并重新训练。</t>
        </is>
      </c>
    </row>
    <row r="120" ht="32" customHeight="1">
      <c r="A120" s="28" t="inlineStr">
        <is>
          <t xml:space="preserve">Beauty MLP｜一个正式模型，多参考比较不增加实验数</t>
        </is>
      </c>
    </row>
    <row r="121" ht="42" customHeight="1">
      <c r="A121" s="26" t="inlineStr">
        <is>
          <t xml:space="preserve">条件与比较边界</t>
        </is>
      </c>
      <c r="C121" s="27" t="inlineStr">
        <is>
          <t xml:space="preserve">已批准T5/RQ-VAE+STE SID，学长逐物品MLP、共享表，独立从零训练。其SID不同于Beauty A的T5/R-Kmeans和Beauty B的Qwen/R-Kmeans；A只部分匹配文本族，B只部分匹配表结构，均非唯一匹配Normal。两行展示同一MLP相对A/B的参考性性能差值，不是严格单因素结构增益。</t>
        </is>
      </c>
    </row>
    <row r="122" ht="56" customHeight="1">
      <c r="A122" s="26" t="inlineStr">
        <is>
          <t xml:space="preserve">实际训练与选模</t>
        </is>
      </c>
      <c r="C122" s="27" t="inlineStr">
        <is>
          <t xml:space="preserve">seed=42；precision=32-true；Adam，lr=.001、weight_decay=.0001；scheduler=None。raw microbatch=32；accumulate_grad_batches=64；单卡名义有效batch=2048 raw records；val_check_interval=6400 loader batches。按完整验证Recall@5最大选best，patience10正常早停。best step=2600；final step=3600；完成完整验证36次；正式testing精确覆盖22363个目标。此处batch按raw records计，collator可进一步展开历史滑窗，不等于实际expanded-window数；单卡累积协议不是多卡DDP完全相同随机轨迹。</t>
        </is>
      </c>
    </row>
    <row r="123" ht="42" customHeight="1">
      <c r="A123" s="26" t="inlineStr">
        <is>
          <t xml:space="preserve">checkpoint身份</t>
        </is>
      </c>
      <c r="C123" s="27" t="inlineStr">
        <is>
          <t xml:space="preserve">/home/bwwu/grid-audits/sid-extensions-p0/jobs/beauty-mlp-formal-v1/output/checkpoints/checkpoint_epoch=000_step=002600.ckpt
SHA-256: 52f18292490825bc7e172e762600b428a8dcb8c511d2dfc3d8f4fe4621335891</t>
        </is>
      </c>
    </row>
    <row r="124" ht="42" customHeight="1">
      <c r="A124" s="26" t="inlineStr">
        <is>
          <t xml:space="preserve">SID身份</t>
        </is>
      </c>
      <c r="C124" s="27" t="inlineStr">
        <is>
          <t xml:space="preserve">/home/bwwu/grid-audits/sid-extensions-p0/beauty-extensions/assets/2a9513a5d7c2a45ee8ccbd923647699350bffe41c804379d6c48e3ddd27645ba/merged_predictions_tensor.pt
SHA-256: 2a9513a5d7c2a45ee8ccbd923647699350bffe41c804379d6c48e3ddd27645ba</t>
        </is>
      </c>
    </row>
    <row r="125" ht="56" customHeight="1">
      <c r="A125" s="26" t="inlineStr">
        <is>
          <t xml:space="preserve">配置与执行身份</t>
        </is>
      </c>
      <c r="C125" s="27" t="inlineStr">
        <is>
          <t xml:space="preserve">/home/bwwu/grid-audits/sid-extensions-p0/beauty-extensions/assets/31a51bd5d203acea823411068ed47ba64304bdd0fb35f89f8f4c887091153fa8/config.yaml
配置SHA-256: 31a51bd5d203acea823411068ed47ba64304bdd0fb35f89f8f4c887091153fa8
正式训练/测试执行commit: 89b6d961c81333b0a44c4eb17527ced11897849f</t>
        </is>
      </c>
    </row>
    <row r="126" ht="32" customHeight="1">
      <c r="A126" s="28" t="inlineStr">
        <is>
          <t xml:space="preserve">Toys MLP｜一个正式模型，多参考比较不增加实验数</t>
        </is>
      </c>
    </row>
    <row r="127" ht="42" customHeight="1">
      <c r="A127" s="26" t="inlineStr">
        <is>
          <t xml:space="preserve">条件与比较边界</t>
        </is>
      </c>
      <c r="C127" s="27" t="inlineStr">
        <is>
          <t xml:space="preserve">沿用作者固定RQ-VAE+STE bundle（beta .25），学长逐物品MLP、共享表，独立从零训练。保存配置的T5 factory与Qwen路径/维度冲突，历史encoder/producer未唯一确定。其SID不同于Toys B及A两候选；相对三个Normal均为参考比较，三行共享同一实验结果ID。</t>
        </is>
      </c>
    </row>
    <row r="128" ht="56" customHeight="1">
      <c r="A128" s="26" t="inlineStr">
        <is>
          <t xml:space="preserve">实际训练与选模</t>
        </is>
      </c>
      <c r="C128" s="27" t="inlineStr">
        <is>
          <t xml:space="preserve">seed=42；precision=32-true；Adam，lr=.001、weight_decay=.0001；scheduler=None。raw microbatch=32；accumulate_grad_batches=48；单卡名义有效batch=1536 raw records；val_check_interval=4800 loader batches。按完整验证Recall@5最大选best，patience10正常早停。best step=4400；final step=5400；完成完整验证54次；正式testing精确覆盖19412个目标。此处batch按raw records计，collator可进一步展开历史滑窗，不等于实际expanded-window数；单卡累积协议不是多卡DDP完全相同随机轨迹。</t>
        </is>
      </c>
    </row>
    <row r="129" ht="42" customHeight="1">
      <c r="A129" s="26" t="inlineStr">
        <is>
          <t xml:space="preserve">checkpoint身份</t>
        </is>
      </c>
      <c r="C129" s="27" t="inlineStr">
        <is>
          <t xml:space="preserve">/home/bwwu/grid-audits/sid-extensions-p0/jobs/gf-20261015-toys-mlp-formal-v1/output/checkpoints/checkpoint_epoch=000_step=004400.ckpt
SHA-256: 1d613682e026366af2004b5c53a8657aec858b453b44ec5ead2f9706e9cf6c32</t>
        </is>
      </c>
    </row>
    <row r="130" ht="42" customHeight="1">
      <c r="A130" s="26" t="inlineStr">
        <is>
          <t xml:space="preserve">SID身份</t>
        </is>
      </c>
      <c r="C130" s="27" t="inlineStr">
        <is>
          <t xml:space="preserve">/home/bwwu/grid-audits/sid-extensions-p0/grid-shuffle-mlp-preflight-20261015/assets/26bae0c90859e1ccf7517dbdd077adc75d3550bb9a637df9905c0dc6eca73eb0/toys-semantic-ids.pt
SHA-256: 26bae0c90859e1ccf7517dbdd077adc75d3550bb9a637df9905c0dc6eca73eb0</t>
        </is>
      </c>
    </row>
    <row r="131" ht="56" customHeight="1">
      <c r="A131" s="26" t="inlineStr">
        <is>
          <t xml:space="preserve">配置与执行身份</t>
        </is>
      </c>
      <c r="C131" s="27" t="inlineStr">
        <is>
          <t xml:space="preserve">/home/bwwu/grid-audits/sid-extensions-p0/grid-shuffle-mlp-preflight-20261015/assets/9050b9de5ae2ed55ab68b6c653f968c04bf3272c17a1129c8f101498747799fd/toys-source.yaml
配置SHA-256: 9050b9de5ae2ed55ab68b6c653f968c04bf3272c17a1129c8f101498747799fd
正式训练/测试执行commit: 4495c38459971aee36b00d881eb50f50fafa3159</t>
        </is>
      </c>
    </row>
    <row r="132" ht="32" customHeight="1">
      <c r="A132" s="28" t="inlineStr">
        <is>
          <t xml:space="preserve">Sports MLP｜一个正式模型，多参考比较不增加实验数</t>
        </is>
      </c>
    </row>
    <row r="133" ht="42" customHeight="1">
      <c r="A133" s="26" t="inlineStr">
        <is>
          <t xml:space="preserve">条件与比较边界</t>
        </is>
      </c>
      <c r="C133" s="27" t="inlineStr">
        <is>
          <t xml:space="preserve">使用与Sports B完全相同的Qwen/R-Kmeans SID，学长逐物品MLP、共享表，独立从零训练。与B的SID及基础配置SHA相同，raw/accum/验证间隔更匹配，因此以B-Normal为主要数值参考；MLP聚合、SEP、参数和独立权重仍有差异，不能解释成严格单因素增益。不是恢复学长历史Sports MLP权重。</t>
        </is>
      </c>
    </row>
    <row r="134" ht="56" customHeight="1">
      <c r="A134" s="26" t="inlineStr">
        <is>
          <t xml:space="preserve">实际训练与选模</t>
        </is>
      </c>
      <c r="C134" s="27" t="inlineStr">
        <is>
          <t xml:space="preserve">seed=42；precision=32-true；Adam，lr=.001、weight_decay=.0001；scheduler=None。raw microbatch=16；accumulate_grad_batches=16；单卡名义有效batch=256 raw records；val_check_interval=1600 loader batches。按完整验证Recall@5最大选best，patience10正常早停。best step=4900；final step=5900；完成完整验证59次；正式testing精确覆盖35598个目标。此处batch按raw records计，collator可进一步展开历史滑窗，不等于实际expanded-window数；单卡累积协议不是多卡DDP完全相同随机轨迹。</t>
        </is>
      </c>
    </row>
    <row r="135" ht="42" customHeight="1">
      <c r="A135" s="26" t="inlineStr">
        <is>
          <t xml:space="preserve">checkpoint身份</t>
        </is>
      </c>
      <c r="C135" s="27" t="inlineStr">
        <is>
          <t xml:space="preserve">/home/bwwu/grid-audits/sid-extensions-p0/jobs/gf-20261015-sports-mlp-formal-v1/output/checkpoints/checkpoint_epoch=000_step=004900.ckpt
SHA-256: 8b503607ef3a64e8e1fc7803738ce8465378a799c97d4431c48a46f4830d814b</t>
        </is>
      </c>
    </row>
    <row r="136" ht="42" customHeight="1">
      <c r="A136" s="26" t="inlineStr">
        <is>
          <t xml:space="preserve">SID身份</t>
        </is>
      </c>
      <c r="C136" s="27" t="inlineStr">
        <is>
          <t xml:space="preserve">/data/bwwu/sid-extensions-assets/563dc50b1c7e/experiments/sports_rkmeans_qwen_20261010_093035/semantic_ids.pt
SHA-256: 89b2c2bbb94eda26ef0e147404fbff29e6ec8246fbdc754c5d885f313f2de293</t>
        </is>
      </c>
    </row>
    <row r="137" ht="56" customHeight="1">
      <c r="A137" s="26" t="inlineStr">
        <is>
          <t xml:space="preserve">配置与执行身份</t>
        </is>
      </c>
      <c r="C137" s="27" t="inlineStr">
        <is>
          <t xml:space="preserve">/home/bwwu/grid-audits/sid-extensions-p0/grid-shuffle-mlp-preflight-20261015/assets/59a6a7566bf2b3ed1dce34806cc454ece57c2cb5c84f67b32964687adfa15e24/sports-engineering-base.yaml
配置SHA-256: 59a6a7566bf2b3ed1dce34806cc454ece57c2cb5c84f67b32964687adfa15e24
正式训练/测试执行commit: 4495c38459971aee36b00d881eb50f50fafa3159</t>
        </is>
      </c>
    </row>
    <row r="138" ht="32" customHeight="1">
      <c r="A138" s="28" t="inlineStr">
        <is>
          <t xml:space="preserve">论文、对照关系、公式与证据说明</t>
        </is>
      </c>
    </row>
    <row r="139" ht="42" customHeight="1">
      <c r="A139" s="26" t="inlineStr">
        <is>
          <t xml:space="preserve">论文原表与协议</t>
        </is>
      </c>
      <c r="C139" s="27" t="inlineStr">
        <is>
          <t xml:space="preserve">GRID: Generative Recommendation with Semantic IDs: A Practitioner’s Handbook，arXiv:2507.22224v1，Section4/Table1。原列R@5/R@10/N@5/N@10已改为R@5/N@5/R@10/N@10。论文报告5个seed平均，默认Flan-T5-XL；生成器Adam lr5e−4、weight_decay1e−6、batch256，选best验证Recall@10。本表单checkpoint历史结果的文本编码器、训练/选模等不同，所有Normal对论文均为参考比较，非严格同配置复现；差值不单独证明复现成败。</t>
        </is>
      </c>
    </row>
    <row r="140" ht="42" customHeight="1">
      <c r="A140" s="26" t="inlineStr">
        <is>
          <t xml:space="preserve">论文对应与未知</t>
        </is>
      </c>
      <c r="C140" s="27" t="inlineStr">
        <is>
          <t xml:space="preserve">八条Normal据量化源码/保存配置对应本域论文RK-Means，而非根据A/B名称或分数匹配。Toys A只能写“配置支持R-Kmeans，producer未唯一绑定”；不强行补全编码器。R-VQ与RQ-VAE论文行完整保留，但没有虚构对应的Normal。论文未单列本表逐路线测试计数，因此论文计数留空。</t>
        </is>
      </c>
    </row>
    <row r="141" ht="42" customHeight="1">
      <c r="A141" s="26" t="inlineStr">
        <is>
          <t xml:space="preserve">指标定义</t>
        </is>
      </c>
      <c r="C141" s="27" t="inlineStr">
        <is>
          <t xml:space="preserve">每个完整testing目标对应一个真实目标物品。Recall@K为目标是否进入前K候选的用户平均；NDCG@K为命中时按1/log2(rank+1)折扣后的用户平均（单目标）。沿用正式原evaluator对候选的处理；非法候选数、重复数照原结果披露，没有在本表修补或重算预测。</t>
        </is>
      </c>
    </row>
    <row r="142" ht="42" customHeight="1">
      <c r="A142" s="26" t="inlineStr">
        <is>
          <t xml:space="preserve">差值与单位</t>
        </is>
      </c>
      <c r="C142" s="27" t="inlineStr">
        <is>
          <t xml:space="preserve">Δabs=current−reference，是0到1指标比例之差；Δrel=(current−reference)/reference，在Excel底层保存为小数比率，用百分比格式显示。指标六位、绝对差值八位、相对变化两位；颜色仅区分正负号，不暗示研究成功/失败。论文显示其公布的四位小数。不先舍入再计算。</t>
        </is>
      </c>
    </row>
    <row r="143" ht="42" customHeight="1">
      <c r="A143" s="26" t="inlineStr">
        <is>
          <t xml:space="preserve">公式与排序</t>
        </is>
      </c>
      <c r="C143" s="27" t="inlineStr">
        <is>
          <t xml:space="preserve">主表使用唯一“比较记录ID”，对照列存确切ID。INDEX/MATCH按该ID查找本表对应指标，不按相邻行或路线名字猜测。筛选不改变配对；整张表排序后仍按ID找对照。没有对照的论文差值留空；相对分母为零时IFERROR返回空。重复MLP结果不作为额外模型计数。</t>
        </is>
      </c>
    </row>
    <row r="144" ht="42" customHeight="1">
      <c r="A144" s="26" t="inlineStr">
        <is>
          <t xml:space="preserve">缓存与重算</t>
        </is>
      </c>
      <c r="C144" s="27" t="inlineStr">
        <is>
          <t xml:space="preserve">OOXML保存数值指标、真实Excel公式及独立Decimal计算的数值缓存；workbook设置auto/fullCalcOnLoad/forceFullCalc。缓存是本地CPU算术结果，不冒充历史科研重算。原生表格软件只读打开、重算、排序和有限渲染的实际结果另见excel-tools/excel-validation.json；未完成的检查不以缓存冒充通过。</t>
        </is>
      </c>
    </row>
    <row r="145" ht="42" customHeight="1">
      <c r="A145" s="26" t="inlineStr">
        <is>
          <t xml:space="preserve">固定身份边界</t>
        </is>
      </c>
      <c r="C145" s="27" t="inlineStr">
        <is>
          <t xml:space="preserve">输入/已发表指标固定于d5c0db4203d6226a7aa5a73583da65f2b00d125d；较早跨域证据继承9ab3d0ea5d32db00e278f74c599a1943885453db；A2科研发表42ac9acf23ae0bdc65ed6505089e1b88101755cd；A2实际执行85b77f5e2a5b497fdc1f620649ba488fc783a245。当前Excel发布commit是交付身份，不是所有历史实验的执行版本。</t>
        </is>
      </c>
    </row>
    <row r="146" ht="42" customHeight="1">
      <c r="A146" s="26" t="inlineStr">
        <is>
          <t xml:space="preserve">生成入口</t>
        </is>
      </c>
      <c r="C146" s="27" t="inlineStr">
        <is>
          <t xml:space="preserve">本文件由同目录excel-tools/build_workbook.py生成，仅Python标准库读取固定Git对象。复现：python3 manifests/grid-a2-fd-recovery-20261018/final-results/cross-domain/excel-tools/build_workbook.py --output /tmp/GRID-reproduced.xlsx 。仅创建统计工作簿，不访问服务器或加载科研模型。</t>
        </is>
      </c>
    </row>
    <row r="147" ht="56" customHeight="1">
      <c r="A147" s="26" t="inlineStr">
        <is>
          <t xml:space="preserve">固定结果入口</t>
        </is>
      </c>
      <c r="C147" s="27" t="inlineStr">
        <is>
          <t xml:space="preserve">https://github.com/woobowen/recommend/blob/d5c0db4203d6226a7aa5a73583da65f2b00d125d/manifests/grid-a2-fd-recovery-20261018/final-results/cross-domain/cross-domain-original-metrics-with-a2.csv
https://github.com/woobowen/recommend/blob/d5c0db4203d6226a7aa5a73583da65f2b00d125d/manifests/grid-a2-fd-recovery-20261018/final-results/cross-domain/cross-domain-evidence-index-with-a2.json
https://github.com/woobowen/recommend/blob/d5c0db4203d6226a7aa5a73583da65f2b00d125d/manifests/grid-formal-20261015/FINAL_RECEIPT.md</t>
        </is>
      </c>
    </row>
    <row r="148" ht="210" customHeight="1">
      <c r="A148" s="26" t="inlineStr">
        <is>
          <t xml:space="preserve">来源内容身份</t>
        </is>
      </c>
      <c r="C148" s="27" t="inlineStr">
        <is>
          <t xml:space="preserve">manifests/grid-a2-fd-recovery-20261018/final-results/cross-domain/cross-domain-original-metrics-with-a2.csv
SHA-256: 64574e2f2daa49375056059edf59309dffaaf769fc4d6102879c18be3583c43c
manifests/grid-a2-fd-recovery-20261018/final-results/cross-domain/cross-domain-evidence-index-with-a2.json
SHA-256: b4688b3154d902eda167e535ec063d0d7997e2598d3b9322a5097f1ed9ce4f80
manifests/beauty-extensions/runs/beauty-mlp-formal-v1/test/metrics.json
SHA-256: e70517004822de47058906de13fa53609b34740b1aa344162cd5121a5b00bbb2
manifests/beauty-extensions/runs/beauty-mlp-formal-v1/training_result.json
SHA-256: 320147c08fec70379ffbb70985f59fa9c390bc558d9918fb27bfcb164b490653
manifests/grid-formal-20261015/runs/gf-20261015-toys-mlp-formal-v1/output/RESULT.json
SHA-256: 0cfe300ff99f9b2c86aa9b1e33e58db2f86c3476534d7cc27cb74118af03da82
manifests/grid-formal-20261015/runs/gf-20261015-sports-mlp-formal-v1/output/RESULT.json
SHA-256: a3b0c522e6a980f1c591de28a914b0ab68ae3f6d6597b9fb5132a2505e161a42
manifests/grid-formal-20261015/FINAL_RECEIPT.md
SHA-256: 192c4e5d5e398a321a11dd7b6910a24dfcb4909ce6122d513b3654064d36f79d</t>
        </is>
      </c>
    </row>
    <row r="150" ht="30" customHeight="1">
      <c r="A150" s="1" t="inlineStr">
        <is>
          <t xml:space="preserve">↑ 返回主数据表｜生成脚本与独立验收回执随Excel发布；本文件不改变任何科研原始结果。</t>
        </is>
      </c>
    </row>
  </sheetData>
  <mergeCells count="193">
    <mergeCell ref="A1:V1"/>
    <mergeCell ref="A2:V2"/>
    <mergeCell ref="A3:V3"/>
    <mergeCell ref="A4:V4"/>
    <mergeCell ref="A5:V5"/>
    <mergeCell ref="A6:F6"/>
    <mergeCell ref="G6:V6"/>
    <mergeCell ref="A7:J7"/>
    <mergeCell ref="K7:M7"/>
    <mergeCell ref="N7:P7"/>
    <mergeCell ref="Q7:S7"/>
    <mergeCell ref="T7:V7"/>
    <mergeCell ref="W7:AG7"/>
    <mergeCell ref="A49:V49"/>
    <mergeCell ref="A51:P51"/>
    <mergeCell ref="A52:B52"/>
    <mergeCell ref="C52:P52"/>
    <mergeCell ref="A53:P53"/>
    <mergeCell ref="A54:B54"/>
    <mergeCell ref="C54:P54"/>
    <mergeCell ref="A55:B55"/>
    <mergeCell ref="C55:P55"/>
    <mergeCell ref="A56:B56"/>
    <mergeCell ref="C56:P56"/>
    <mergeCell ref="A57:P57"/>
    <mergeCell ref="A58:B58"/>
    <mergeCell ref="C58:P58"/>
    <mergeCell ref="A59:B59"/>
    <mergeCell ref="C59:P59"/>
    <mergeCell ref="A60:B60"/>
    <mergeCell ref="C60:P60"/>
    <mergeCell ref="A61:P61"/>
    <mergeCell ref="A62:B62"/>
    <mergeCell ref="C62:P62"/>
    <mergeCell ref="A63:P63"/>
    <mergeCell ref="A64:B64"/>
    <mergeCell ref="C64:P64"/>
    <mergeCell ref="A65:B65"/>
    <mergeCell ref="C65:P65"/>
    <mergeCell ref="A66:P66"/>
    <mergeCell ref="A67:B67"/>
    <mergeCell ref="C67:P67"/>
    <mergeCell ref="A68:B68"/>
    <mergeCell ref="C68:P68"/>
    <mergeCell ref="A69:B69"/>
    <mergeCell ref="C69:P69"/>
    <mergeCell ref="A70:B70"/>
    <mergeCell ref="C70:P70"/>
    <mergeCell ref="A71:B71"/>
    <mergeCell ref="C71:P71"/>
    <mergeCell ref="A72:P72"/>
    <mergeCell ref="A73:B73"/>
    <mergeCell ref="C73:P73"/>
    <mergeCell ref="A74:B74"/>
    <mergeCell ref="C74:P74"/>
    <mergeCell ref="A75:B75"/>
    <mergeCell ref="C75:P75"/>
    <mergeCell ref="A76:B76"/>
    <mergeCell ref="C76:P76"/>
    <mergeCell ref="A77:B77"/>
    <mergeCell ref="C77:P77"/>
    <mergeCell ref="A78:P78"/>
    <mergeCell ref="A79:B79"/>
    <mergeCell ref="C79:P79"/>
    <mergeCell ref="A80:B80"/>
    <mergeCell ref="C80:P80"/>
    <mergeCell ref="A81:B81"/>
    <mergeCell ref="C81:P81"/>
    <mergeCell ref="A82:B82"/>
    <mergeCell ref="C82:P82"/>
    <mergeCell ref="A83:B83"/>
    <mergeCell ref="C83:P83"/>
    <mergeCell ref="A84:P84"/>
    <mergeCell ref="A85:B85"/>
    <mergeCell ref="C85:P85"/>
    <mergeCell ref="A86:B86"/>
    <mergeCell ref="C86:P86"/>
    <mergeCell ref="A87:B87"/>
    <mergeCell ref="C87:P87"/>
    <mergeCell ref="A88:B88"/>
    <mergeCell ref="C88:P88"/>
    <mergeCell ref="A89:B89"/>
    <mergeCell ref="C89:P89"/>
    <mergeCell ref="A90:P90"/>
    <mergeCell ref="A91:B91"/>
    <mergeCell ref="C91:P91"/>
    <mergeCell ref="A92:B92"/>
    <mergeCell ref="C92:P92"/>
    <mergeCell ref="A93:B93"/>
    <mergeCell ref="C93:P93"/>
    <mergeCell ref="A94:B94"/>
    <mergeCell ref="C94:P94"/>
    <mergeCell ref="A95:B95"/>
    <mergeCell ref="C95:P95"/>
    <mergeCell ref="A96:P96"/>
    <mergeCell ref="A97:B97"/>
    <mergeCell ref="C97:P97"/>
    <mergeCell ref="A98:B98"/>
    <mergeCell ref="C98:P98"/>
    <mergeCell ref="A99:B99"/>
    <mergeCell ref="C99:P99"/>
    <mergeCell ref="A100:B100"/>
    <mergeCell ref="C100:P100"/>
    <mergeCell ref="A101:B101"/>
    <mergeCell ref="C101:P101"/>
    <mergeCell ref="A102:P102"/>
    <mergeCell ref="A103:B103"/>
    <mergeCell ref="C103:P103"/>
    <mergeCell ref="A104:B104"/>
    <mergeCell ref="C104:P104"/>
    <mergeCell ref="A105:B105"/>
    <mergeCell ref="C105:P105"/>
    <mergeCell ref="A106:B106"/>
    <mergeCell ref="C106:P106"/>
    <mergeCell ref="A107:B107"/>
    <mergeCell ref="C107:P107"/>
    <mergeCell ref="A108:B108"/>
    <mergeCell ref="C108:P108"/>
    <mergeCell ref="A109:P109"/>
    <mergeCell ref="A110:B110"/>
    <mergeCell ref="C110:P110"/>
    <mergeCell ref="A111:B111"/>
    <mergeCell ref="C111:P111"/>
    <mergeCell ref="A112:B112"/>
    <mergeCell ref="C112:P112"/>
    <mergeCell ref="A113:B113"/>
    <mergeCell ref="C113:P113"/>
    <mergeCell ref="A114:B114"/>
    <mergeCell ref="C114:P114"/>
    <mergeCell ref="A115:B115"/>
    <mergeCell ref="C115:P115"/>
    <mergeCell ref="A116:P116"/>
    <mergeCell ref="A117:B117"/>
    <mergeCell ref="C117:P117"/>
    <mergeCell ref="A118:B118"/>
    <mergeCell ref="C118:P118"/>
    <mergeCell ref="A119:B119"/>
    <mergeCell ref="C119:P119"/>
    <mergeCell ref="A120:P120"/>
    <mergeCell ref="A121:B121"/>
    <mergeCell ref="C121:P121"/>
    <mergeCell ref="A122:B122"/>
    <mergeCell ref="C122:P122"/>
    <mergeCell ref="A123:B123"/>
    <mergeCell ref="C123:P123"/>
    <mergeCell ref="A124:B124"/>
    <mergeCell ref="C124:P124"/>
    <mergeCell ref="A125:B125"/>
    <mergeCell ref="C125:P125"/>
    <mergeCell ref="A126:P126"/>
    <mergeCell ref="A127:B127"/>
    <mergeCell ref="C127:P127"/>
    <mergeCell ref="A128:B128"/>
    <mergeCell ref="C128:P128"/>
    <mergeCell ref="A129:B129"/>
    <mergeCell ref="C129:P129"/>
    <mergeCell ref="A130:B130"/>
    <mergeCell ref="C130:P130"/>
    <mergeCell ref="A131:B131"/>
    <mergeCell ref="C131:P131"/>
    <mergeCell ref="A132:P132"/>
    <mergeCell ref="A133:B133"/>
    <mergeCell ref="C133:P133"/>
    <mergeCell ref="A134:B134"/>
    <mergeCell ref="C134:P134"/>
    <mergeCell ref="A135:B135"/>
    <mergeCell ref="C135:P135"/>
    <mergeCell ref="A136:B136"/>
    <mergeCell ref="C136:P136"/>
    <mergeCell ref="A137:B137"/>
    <mergeCell ref="C137:P137"/>
    <mergeCell ref="A138:P138"/>
    <mergeCell ref="A139:B139"/>
    <mergeCell ref="C139:P139"/>
    <mergeCell ref="A140:B140"/>
    <mergeCell ref="C140:P140"/>
    <mergeCell ref="A141:B141"/>
    <mergeCell ref="C141:P141"/>
    <mergeCell ref="A142:B142"/>
    <mergeCell ref="C142:P142"/>
    <mergeCell ref="A143:B143"/>
    <mergeCell ref="C143:P143"/>
    <mergeCell ref="A144:B144"/>
    <mergeCell ref="C144:P144"/>
    <mergeCell ref="A145:B145"/>
    <mergeCell ref="C145:P145"/>
    <mergeCell ref="A146:B146"/>
    <mergeCell ref="C146:P146"/>
    <mergeCell ref="A147:B147"/>
    <mergeCell ref="C147:P147"/>
    <mergeCell ref="A148:B148"/>
    <mergeCell ref="C148:P148"/>
    <mergeCell ref="A150:P150"/>
  </mergeCells>
  <hyperlinks>
    <hyperlink ref="A6" location="'GRID实验总表'!A51" tooltip="跳转到对应方法说明"/>
    <hyperlink ref="AE9" tooltip="https://arxiv.org/html/2507.22224v1#S4" r:id="rId2"/>
    <hyperlink ref="AF9" tooltip="https://arxiv.org/html/2507.22224v1#S4" r:id="rId3"/>
    <hyperlink ref="AE10" tooltip="https://arxiv.org/html/2507.22224v1#S4" r:id="rId4"/>
    <hyperlink ref="AF10" tooltip="https://arxiv.org/html/2507.22224v1#S4" r:id="rId5"/>
    <hyperlink ref="AE11" tooltip="https://arxiv.org/html/2507.22224v1#S4" r:id="rId6"/>
    <hyperlink ref="AF11" tooltip="https://arxiv.org/html/2507.22224v1#S4" r:id="rId7"/>
    <hyperlink ref="AE12" tooltip="https://github.com/woobowen/recommend/blob/9ab3d0ea5d32db00e278f74c599a1943885453db/manifests/grid-formal-20261015/runs/gf-20261015-a-normal-v1/output/RESULT.json" r:id="rId8"/>
    <hyperlink ref="AF12" tooltip="https://github.com/woobowen/recommend/blob/d5c0db4203d6226a7aa5a73583da65f2b00d125d/manifests/grid-a2-fd-recovery-20261018/final-results/cross-domain/cross-domain-evidence-index-with-a2.json" r:id="rId9"/>
    <hyperlink ref="AD12" tooltip="https://github.com/woobowen/recommend/commit/2cf4c793c2e0b2e9dc7e7a9269f5e54d5c667896" r:id="rId10"/>
    <hyperlink ref="AE13" tooltip="https://github.com/woobowen/recommend/blob/9ab3d0ea5d32db00e278f74c599a1943885453db/manifests/grid-formal-20261015/runs/gf-20261015-a-shuffle3-v1/output/RESULT.json" r:id="rId11"/>
    <hyperlink ref="AF13" tooltip="https://github.com/woobowen/recommend/blob/d5c0db4203d6226a7aa5a73583da65f2b00d125d/manifests/grid-a2-fd-recovery-20261018/final-results/cross-domain/cross-domain-evidence-index-with-a2.json" r:id="rId12"/>
    <hyperlink ref="AD13" tooltip="https://github.com/woobowen/recommend/commit/2cf4c793c2e0b2e9dc7e7a9269f5e54d5c667896" r:id="rId13"/>
    <hyperlink ref="AE14" tooltip="https://github.com/woobowen/recommend/blob/9ab3d0ea5d32db00e278f74c599a1943885453db/manifests/grid-formal-20261015/runs/gf-20261015-a-shuffle4-v1/output/RESULT.json" r:id="rId14"/>
    <hyperlink ref="AF14" tooltip="https://github.com/woobowen/recommend/blob/d5c0db4203d6226a7aa5a73583da65f2b00d125d/manifests/grid-a2-fd-recovery-20261018/final-results/cross-domain/cross-domain-evidence-index-with-a2.json" r:id="rId15"/>
    <hyperlink ref="AD14" tooltip="https://github.com/woobowen/recommend/commit/2cf4c793c2e0b2e9dc7e7a9269f5e54d5c667896" r:id="rId16"/>
    <hyperlink ref="AE15" tooltip="https://github.com/woobowen/recommend/blob/9ab3d0ea5d32db00e278f74c599a1943885453db/manifests/grid-formal-20261015/runs/gf-20261015-b-normal-v1/output/RESULT.json" r:id="rId17"/>
    <hyperlink ref="AF15" tooltip="https://github.com/woobowen/recommend/blob/d5c0db4203d6226a7aa5a73583da65f2b00d125d/manifests/grid-a2-fd-recovery-20261018/final-results/cross-domain/cross-domain-evidence-index-with-a2.json" r:id="rId18"/>
    <hyperlink ref="AD15" tooltip="https://github.com/woobowen/recommend/commit/2cf4c793c2e0b2e9dc7e7a9269f5e54d5c667896" r:id="rId19"/>
    <hyperlink ref="AE16" tooltip="https://github.com/woobowen/recommend/blob/9ab3d0ea5d32db00e278f74c599a1943885453db/manifests/grid-formal-20261015/runs/gf-20261015-b-shuffle3-v1/output/RESULT.json" r:id="rId20"/>
    <hyperlink ref="AF16" tooltip="https://github.com/woobowen/recommend/blob/d5c0db4203d6226a7aa5a73583da65f2b00d125d/manifests/grid-a2-fd-recovery-20261018/final-results/cross-domain/cross-domain-evidence-index-with-a2.json" r:id="rId21"/>
    <hyperlink ref="AD16" tooltip="https://github.com/woobowen/recommend/commit/2cf4c793c2e0b2e9dc7e7a9269f5e54d5c667896" r:id="rId22"/>
    <hyperlink ref="AE17" tooltip="https://github.com/woobowen/recommend/blob/9ab3d0ea5d32db00e278f74c599a1943885453db/manifests/grid-formal-20261015/runs/gf-20261015-b-shuffle4-v1/output/RESULT.json" r:id="rId23"/>
    <hyperlink ref="AF17" tooltip="https://github.com/woobowen/recommend/blob/d5c0db4203d6226a7aa5a73583da65f2b00d125d/manifests/grid-a2-fd-recovery-20261018/final-results/cross-domain/cross-domain-evidence-index-with-a2.json" r:id="rId24"/>
    <hyperlink ref="AD17" tooltip="https://github.com/woobowen/recommend/commit/2cf4c793c2e0b2e9dc7e7a9269f5e54d5c667896" r:id="rId25"/>
    <hyperlink ref="AE18" tooltip="https://github.com/woobowen/recommend/blob/d5c0db4203d6226a7aa5a73583da65f2b00d125d/manifests/beauty-extensions/runs/beauty-mlp-formal-v1/test/metrics.json" r:id="rId26"/>
    <hyperlink ref="AF18" tooltip="https://github.com/woobowen/recommend/blob/d5c0db4203d6226a7aa5a73583da65f2b00d125d/manifests/beauty-extensions/runs/beauty-mlp-formal-v1/test/metrics.json" r:id="rId27"/>
    <hyperlink ref="AD18" tooltip="https://github.com/woobowen/recommend/commit/89b6d961c81333b0a44c4eb17527ced11897849f" r:id="rId28"/>
    <hyperlink ref="AE19" tooltip="https://github.com/woobowen/recommend/blob/d5c0db4203d6226a7aa5a73583da65f2b00d125d/manifests/beauty-extensions/runs/beauty-mlp-formal-v1/test/metrics.json" r:id="rId29"/>
    <hyperlink ref="AF19" tooltip="https://github.com/woobowen/recommend/blob/d5c0db4203d6226a7aa5a73583da65f2b00d125d/manifests/beauty-extensions/runs/beauty-mlp-formal-v1/test/metrics.json" r:id="rId30"/>
    <hyperlink ref="AD19" tooltip="https://github.com/woobowen/recommend/commit/89b6d961c81333b0a44c4eb17527ced11897849f" r:id="rId31"/>
    <hyperlink ref="AE20" tooltip="https://arxiv.org/html/2507.22224v1#S4" r:id="rId32"/>
    <hyperlink ref="AF20" tooltip="https://arxiv.org/html/2507.22224v1#S4" r:id="rId33"/>
    <hyperlink ref="AE21" tooltip="https://arxiv.org/html/2507.22224v1#S4" r:id="rId34"/>
    <hyperlink ref="AF21" tooltip="https://arxiv.org/html/2507.22224v1#S4" r:id="rId35"/>
    <hyperlink ref="AE22" tooltip="https://arxiv.org/html/2507.22224v1#S4" r:id="rId36"/>
    <hyperlink ref="AF22" tooltip="https://arxiv.org/html/2507.22224v1#S4" r:id="rId37"/>
    <hyperlink ref="AE23" tooltip="https://github.com/woobowen/recommend/blob/9ab3d0ea5d32db00e278f74c599a1943885453db/manifests/grid-shuffle-20261017/runs/gs-20261017-toys-b-normal-v1/output/RESULT.json" r:id="rId38"/>
    <hyperlink ref="AF23" tooltip="https://github.com/woobowen/recommend/blob/d5c0db4203d6226a7aa5a73583da65f2b00d125d/manifests/grid-a2-fd-recovery-20261018/final-results/cross-domain/cross-domain-evidence-index-with-a2.json" r:id="rId39"/>
    <hyperlink ref="AD23" tooltip="https://github.com/woobowen/recommend/commit/c8acac42d5e13ca80af75faac5d1f7bc33fb589f" r:id="rId40"/>
    <hyperlink ref="AE24" tooltip="https://github.com/woobowen/recommend/blob/9ab3d0ea5d32db00e278f74c599a1943885453db/manifests/grid-shuffle-20261017/runs/gs-20261017-toys-b-shuffle3-v1/output/RESULT.json" r:id="rId41"/>
    <hyperlink ref="AF24" tooltip="https://github.com/woobowen/recommend/blob/d5c0db4203d6226a7aa5a73583da65f2b00d125d/manifests/grid-a2-fd-recovery-20261018/final-results/cross-domain/cross-domain-evidence-index-with-a2.json" r:id="rId42"/>
    <hyperlink ref="AD24" tooltip="https://github.com/woobowen/recommend/commit/c8acac42d5e13ca80af75faac5d1f7bc33fb589f" r:id="rId43"/>
    <hyperlink ref="AE25" tooltip="https://github.com/woobowen/recommend/blob/9ab3d0ea5d32db00e278f74c599a1943885453db/manifests/grid-shuffle-20261017/runs/gs-20261017-toys-b-shuffle4-v1/output/RESULT.json" r:id="rId44"/>
    <hyperlink ref="AF25" tooltip="https://github.com/woobowen/recommend/blob/d5c0db4203d6226a7aa5a73583da65f2b00d125d/manifests/grid-a2-fd-recovery-20261018/final-results/cross-domain/cross-domain-evidence-index-with-a2.json" r:id="rId45"/>
    <hyperlink ref="AD25" tooltip="https://github.com/woobowen/recommend/commit/c8acac42d5e13ca80af75faac5d1f7bc33fb589f" r:id="rId46"/>
    <hyperlink ref="AE26" tooltip="https://github.com/woobowen/recommend/blob/d5c0db4203d6226a7aa5a73583da65f2b00d125d/manifests/grid-a2-fd-recovery-20261018/final-results/cross-domain/cross-domain-evidence-index-with-a2.json" r:id="rId47"/>
    <hyperlink ref="AF26" tooltip="https://github.com/woobowen/recommend/blob/d5c0db4203d6226a7aa5a73583da65f2b00d125d/manifests/grid-a2-fd-recovery-20261018/final-results/cross-domain/cross-domain-evidence-index-with-a2.json" r:id="rId48"/>
    <hyperlink ref="AD26" tooltip="https://github.com/woobowen/recommend/commit/b44399926c98369191c2ff5c2425377c8c07d3c8" r:id="rId49"/>
    <hyperlink ref="AE27" tooltip="https://github.com/woobowen/recommend/blob/d5c0db4203d6226a7aa5a73583da65f2b00d125d/manifests/grid-a2-fd-recovery-20261018/final-results/cross-domain/cross-domain-evidence-index-with-a2.json" r:id="rId50"/>
    <hyperlink ref="AF27" tooltip="https://github.com/woobowen/recommend/blob/d5c0db4203d6226a7aa5a73583da65f2b00d125d/manifests/grid-a2-fd-recovery-20261018/final-results/cross-domain/cross-domain-evidence-index-with-a2.json" r:id="rId51"/>
    <hyperlink ref="AD27" tooltip="https://github.com/woobowen/recommend/commit/b44399926c98369191c2ff5c2425377c8c07d3c8" r:id="rId52"/>
    <hyperlink ref="AE28" tooltip="https://github.com/woobowen/recommend/blob/d5c0db4203d6226a7aa5a73583da65f2b00d125d/manifests/grid-a2-fd-recovery-20261018/final-results/cross-domain/cross-domain-evidence-index-with-a2.json" r:id="rId53"/>
    <hyperlink ref="AF28" tooltip="https://github.com/woobowen/recommend/blob/d5c0db4203d6226a7aa5a73583da65f2b00d125d/manifests/grid-a2-fd-recovery-20261018/final-results/cross-domain/cross-domain-evidence-index-with-a2.json" r:id="rId54"/>
    <hyperlink ref="AD28" tooltip="https://github.com/woobowen/recommend/commit/b44399926c98369191c2ff5c2425377c8c07d3c8" r:id="rId55"/>
    <hyperlink ref="AE29" tooltip="https://github.com/woobowen/recommend/blob/d5c0db4203d6226a7aa5a73583da65f2b00d125d/manifests/grid-a2-fd-recovery-20261018/final-results/cross-domain/cross-domain-evidence-index-with-a2.json" r:id="rId56"/>
    <hyperlink ref="AF29" tooltip="https://github.com/woobowen/recommend/blob/d5c0db4203d6226a7aa5a73583da65f2b00d125d/manifests/grid-a2-fd-recovery-20261018/final-results/cross-domain/cross-domain-evidence-index-with-a2.json" r:id="rId57"/>
    <hyperlink ref="AD29" tooltip="https://github.com/woobowen/recommend/commit/b44399926c98369191c2ff5c2425377c8c07d3c8" r:id="rId58"/>
    <hyperlink ref="AE30" tooltip="https://github.com/woobowen/recommend/blob/d5c0db4203d6226a7aa5a73583da65f2b00d125d/manifests/grid-a2-fd-recovery-20261018/final-results/cross-domain/cross-domain-evidence-index-with-a2.json" r:id="rId59"/>
    <hyperlink ref="AF30" tooltip="https://github.com/woobowen/recommend/blob/d5c0db4203d6226a7aa5a73583da65f2b00d125d/manifests/grid-a2-fd-recovery-20261018/final-results/cross-domain/cross-domain-evidence-index-with-a2.json" r:id="rId60"/>
    <hyperlink ref="AD30" tooltip="https://github.com/woobowen/recommend/commit/b44399926c98369191c2ff5c2425377c8c07d3c8" r:id="rId61"/>
    <hyperlink ref="AE31" tooltip="https://github.com/woobowen/recommend/blob/d5c0db4203d6226a7aa5a73583da65f2b00d125d/manifests/grid-a2-fd-recovery-20261018/final-results/cross-domain/cross-domain-evidence-index-with-a2.json" r:id="rId62"/>
    <hyperlink ref="AF31" tooltip="https://github.com/woobowen/recommend/blob/d5c0db4203d6226a7aa5a73583da65f2b00d125d/manifests/grid-a2-fd-recovery-20261018/final-results/cross-domain/cross-domain-evidence-index-with-a2.json" r:id="rId63"/>
    <hyperlink ref="AD31" tooltip="https://github.com/woobowen/recommend/commit/b44399926c98369191c2ff5c2425377c8c07d3c8" r:id="rId64"/>
    <hyperlink ref="AE32" tooltip="https://github.com/woobowen/recommend/blob/d5c0db4203d6226a7aa5a73583da65f2b00d125d/manifests/grid-formal-20261015/runs/gf-20261015-toys-mlp-formal-v1/output/RESULT.json" r:id="rId65"/>
    <hyperlink ref="AF32" tooltip="https://github.com/woobowen/recommend/blob/d5c0db4203d6226a7aa5a73583da65f2b00d125d/manifests/grid-formal-20261015/runs/gf-20261015-toys-mlp-formal-v1/output/RESULT.json" r:id="rId66"/>
    <hyperlink ref="AD32" tooltip="https://github.com/woobowen/recommend/commit/4495c38459971aee36b00d881eb50f50fafa3159" r:id="rId67"/>
    <hyperlink ref="AE33" tooltip="https://github.com/woobowen/recommend/blob/d5c0db4203d6226a7aa5a73583da65f2b00d125d/manifests/grid-formal-20261015/runs/gf-20261015-toys-mlp-formal-v1/output/RESULT.json" r:id="rId68"/>
    <hyperlink ref="AF33" tooltip="https://github.com/woobowen/recommend/blob/d5c0db4203d6226a7aa5a73583da65f2b00d125d/manifests/grid-formal-20261015/runs/gf-20261015-toys-mlp-formal-v1/output/RESULT.json" r:id="rId69"/>
    <hyperlink ref="AD33" tooltip="https://github.com/woobowen/recommend/commit/4495c38459971aee36b00d881eb50f50fafa3159" r:id="rId70"/>
    <hyperlink ref="AE34" tooltip="https://github.com/woobowen/recommend/blob/d5c0db4203d6226a7aa5a73583da65f2b00d125d/manifests/grid-formal-20261015/runs/gf-20261015-toys-mlp-formal-v1/output/RESULT.json" r:id="rId71"/>
    <hyperlink ref="AF34" tooltip="https://github.com/woobowen/recommend/blob/d5c0db4203d6226a7aa5a73583da65f2b00d125d/manifests/grid-formal-20261015/runs/gf-20261015-toys-mlp-formal-v1/output/RESULT.json" r:id="rId72"/>
    <hyperlink ref="AD34" tooltip="https://github.com/woobowen/recommend/commit/4495c38459971aee36b00d881eb50f50fafa3159" r:id="rId73"/>
    <hyperlink ref="AE35" tooltip="https://arxiv.org/html/2507.22224v1#S4" r:id="rId74"/>
    <hyperlink ref="AF35" tooltip="https://arxiv.org/html/2507.22224v1#S4" r:id="rId75"/>
    <hyperlink ref="AE36" tooltip="https://arxiv.org/html/2507.22224v1#S4" r:id="rId76"/>
    <hyperlink ref="AF36" tooltip="https://arxiv.org/html/2507.22224v1#S4" r:id="rId77"/>
    <hyperlink ref="AE37" tooltip="https://arxiv.org/html/2507.22224v1#S4" r:id="rId78"/>
    <hyperlink ref="AF37" tooltip="https://arxiv.org/html/2507.22224v1#S4" r:id="rId79"/>
    <hyperlink ref="AE38" tooltip="https://github.com/woobowen/recommend/blob/9ab3d0ea5d32db00e278f74c599a1943885453db/manifests/grid-shuffle-20261017/runs/gs-20261017-sports-b-normal-v1/output/RESULT.json" r:id="rId80"/>
    <hyperlink ref="AF38" tooltip="https://github.com/woobowen/recommend/blob/d5c0db4203d6226a7aa5a73583da65f2b00d125d/manifests/grid-a2-fd-recovery-20261018/final-results/cross-domain/cross-domain-evidence-index-with-a2.json" r:id="rId81"/>
    <hyperlink ref="AD38" tooltip="https://github.com/woobowen/recommend/commit/c8acac42d5e13ca80af75faac5d1f7bc33fb589f" r:id="rId82"/>
    <hyperlink ref="AE39" tooltip="https://github.com/woobowen/recommend/blob/9ab3d0ea5d32db00e278f74c599a1943885453db/manifests/grid-shuffle-20261017/runs/gs-20261017-sports-b-shuffle3-v1/output/RESULT.json" r:id="rId83"/>
    <hyperlink ref="AF39" tooltip="https://github.com/woobowen/recommend/blob/d5c0db4203d6226a7aa5a73583da65f2b00d125d/manifests/grid-a2-fd-recovery-20261018/final-results/cross-domain/cross-domain-evidence-index-with-a2.json" r:id="rId84"/>
    <hyperlink ref="AD39" tooltip="https://github.com/woobowen/recommend/commit/c8acac42d5e13ca80af75faac5d1f7bc33fb589f" r:id="rId85"/>
    <hyperlink ref="AE40" tooltip="https://github.com/woobowen/recommend/blob/9ab3d0ea5d32db00e278f74c599a1943885453db/manifests/grid-shuffle-20261017/runs/gs-20261017-sports-b-shuffle4-v1/output/RESULT.json" r:id="rId86"/>
    <hyperlink ref="AF40" tooltip="https://github.com/woobowen/recommend/blob/d5c0db4203d6226a7aa5a73583da65f2b00d125d/manifests/grid-a2-fd-recovery-20261018/final-results/cross-domain/cross-domain-evidence-index-with-a2.json" r:id="rId87"/>
    <hyperlink ref="AD40" tooltip="https://github.com/woobowen/recommend/commit/c8acac42d5e13ca80af75faac5d1f7bc33fb589f" r:id="rId88"/>
    <hyperlink ref="AE41" tooltip="https://github.com/woobowen/recommend/blob/d5c0db4203d6226a7aa5a73583da65f2b00d125d/manifests/grid-a2-fd-recovery-20261018/final-results/cross-domain/cross-domain-evidence-index-with-a2.json" r:id="rId89"/>
    <hyperlink ref="AF41" tooltip="https://github.com/woobowen/recommend/blob/d5c0db4203d6226a7aa5a73583da65f2b00d125d/manifests/grid-a2-fd-recovery-20261018/final-results/cross-domain/cross-domain-evidence-index-with-a2.json" r:id="rId90"/>
    <hyperlink ref="AD41" tooltip="https://github.com/woobowen/recommend/commit/b44399926c98369191c2ff5c2425377c8c07d3c8" r:id="rId91"/>
    <hyperlink ref="AE42" tooltip="https://github.com/woobowen/recommend/blob/d5c0db4203d6226a7aa5a73583da65f2b00d125d/manifests/grid-a2-fd-recovery-20261018/final-results/cross-domain/cross-domain-evidence-index-with-a2.json" r:id="rId92"/>
    <hyperlink ref="AF42" tooltip="https://github.com/woobowen/recommend/blob/d5c0db4203d6226a7aa5a73583da65f2b00d125d/manifests/grid-a2-fd-recovery-20261018/final-results/cross-domain/cross-domain-evidence-index-with-a2.json" r:id="rId93"/>
    <hyperlink ref="AD42" tooltip="https://github.com/woobowen/recommend/commit/b44399926c98369191c2ff5c2425377c8c07d3c8" r:id="rId94"/>
    <hyperlink ref="AE43" tooltip="https://github.com/woobowen/recommend/blob/d5c0db4203d6226a7aa5a73583da65f2b00d125d/manifests/grid-a2-fd-recovery-20261018/final-results/cross-domain/cross-domain-evidence-index-with-a2.json" r:id="rId95"/>
    <hyperlink ref="AF43" tooltip="https://github.com/woobowen/recommend/blob/d5c0db4203d6226a7aa5a73583da65f2b00d125d/manifests/grid-a2-fd-recovery-20261018/final-results/cross-domain/cross-domain-evidence-index-with-a2.json" r:id="rId96"/>
    <hyperlink ref="AD43" tooltip="https://github.com/woobowen/recommend/commit/b44399926c98369191c2ff5c2425377c8c07d3c8" r:id="rId97"/>
    <hyperlink ref="AE44" tooltip="https://github.com/woobowen/recommend/blob/d5c0db4203d6226a7aa5a73583da65f2b00d125d/manifests/grid-a2-fd-recovery-20261018/final-results/cross-domain/cross-domain-evidence-index-with-a2.json" r:id="rId98"/>
    <hyperlink ref="AF44" tooltip="https://github.com/woobowen/recommend/blob/d5c0db4203d6226a7aa5a73583da65f2b00d125d/manifests/grid-a2-fd-recovery-20261018/final-results/cross-domain/cross-domain-evidence-index-with-a2.json" r:id="rId99"/>
    <hyperlink ref="AD44" tooltip="https://github.com/woobowen/recommend/commit/85b77f5e2a5b497fdc1f620649ba488fc783a245" r:id="rId100"/>
    <hyperlink ref="AE45" tooltip="https://github.com/woobowen/recommend/blob/d5c0db4203d6226a7aa5a73583da65f2b00d125d/manifests/grid-a2-fd-recovery-20261018/final-results/cross-domain/cross-domain-evidence-index-with-a2.json" r:id="rId101"/>
    <hyperlink ref="AF45" tooltip="https://github.com/woobowen/recommend/blob/d5c0db4203d6226a7aa5a73583da65f2b00d125d/manifests/grid-a2-fd-recovery-20261018/final-results/cross-domain/cross-domain-evidence-index-with-a2.json" r:id="rId102"/>
    <hyperlink ref="AD45" tooltip="https://github.com/woobowen/recommend/commit/85b77f5e2a5b497fdc1f620649ba488fc783a245" r:id="rId103"/>
    <hyperlink ref="AE46" tooltip="https://github.com/woobowen/recommend/blob/d5c0db4203d6226a7aa5a73583da65f2b00d125d/manifests/grid-a2-fd-recovery-20261018/final-results/cross-domain/cross-domain-evidence-index-with-a2.json" r:id="rId104"/>
    <hyperlink ref="AF46" tooltip="https://github.com/woobowen/recommend/blob/d5c0db4203d6226a7aa5a73583da65f2b00d125d/manifests/grid-a2-fd-recovery-20261018/final-results/cross-domain/cross-domain-evidence-index-with-a2.json" r:id="rId105"/>
    <hyperlink ref="AD46" tooltip="https://github.com/woobowen/recommend/commit/85b77f5e2a5b497fdc1f620649ba488fc783a245" r:id="rId106"/>
    <hyperlink ref="AE47" tooltip="https://github.com/woobowen/recommend/blob/d5c0db4203d6226a7aa5a73583da65f2b00d125d/manifests/grid-formal-20261015/runs/gf-20261015-sports-mlp-formal-v1/output/RESULT.json" r:id="rId107"/>
    <hyperlink ref="AF47" tooltip="https://github.com/woobowen/recommend/blob/d5c0db4203d6226a7aa5a73583da65f2b00d125d/manifests/grid-a2-fd-recovery-20261018/final-results/cross-domain/cross-domain-evidence-index-with-a2.json" r:id="rId108"/>
    <hyperlink ref="AD47" tooltip="https://github.com/woobowen/recommend/commit/4495c38459971aee36b00d881eb50f50fafa3159" r:id="rId109"/>
    <hyperlink ref="C58" tooltip="https://github.com/woobowen/recommend/blob/2cf4c793c2e0b2e9dc7e7a9269f5e54d5c667896/references/wmh-original/GRID/src/models/modules/semantic_id/tiger_generation_model_shuffle.py" r:id="rId110"/>
    <hyperlink ref="C62" tooltip="https://github.com/woobowen/recommend/blob/2cf4c793c2e0b2e9dc7e7a9269f5e54d5c667896/experiments/beauty_extensions/author/models.py" r:id="rId111"/>
    <hyperlink ref="C64" tooltip="https://github.com/woobowen/recommend/blob/c8acac42d5e13ca80af75faac5d1f7bc33fb589f/experiments/beauty_extensions/baseline.py" r:id="rId112"/>
    <hyperlink ref="C68" tooltip="https://github.com/woobowen/recommend/blob/d5c0db4203d6226a7aa5a73583da65f2b00d125d/manifests/grid-a2-fd-recovery-20261018/final-results/cross-domain/cross-domain-evidence-index-with-a2.json" r:id="rId113"/>
    <hyperlink ref="C71" tooltip="https://github.com/woobowen/recommend/blob/2cf4c793c2e0b2e9dc7e7a9269f5e54d5c667896/experiments/beauty_extensions/author/models.py" r:id="rId114"/>
    <hyperlink ref="C74" tooltip="https://github.com/woobowen/recommend/blob/d5c0db4203d6226a7aa5a73583da65f2b00d125d/manifests/grid-a2-fd-recovery-20261018/final-results/cross-domain/cross-domain-evidence-index-with-a2.json" r:id="rId115"/>
    <hyperlink ref="C77" tooltip="https://github.com/woobowen/recommend/blob/2cf4c793c2e0b2e9dc7e7a9269f5e54d5c667896/experiments/beauty_extensions/baseline.py" r:id="rId116"/>
    <hyperlink ref="C80" tooltip="https://github.com/woobowen/recommend/blob/d5c0db4203d6226a7aa5a73583da65f2b00d125d/manifests/grid-a2-fd-recovery-20261018/final-results/cross-domain/cross-domain-evidence-index-with-a2.json" r:id="rId117"/>
    <hyperlink ref="C83" tooltip="https://github.com/woobowen/recommend/blob/c8acac42d5e13ca80af75faac5d1f7bc33fb589f/experiments/beauty_extensions/baseline.py" r:id="rId118"/>
    <hyperlink ref="C86" tooltip="https://github.com/woobowen/recommend/blob/d5c0db4203d6226a7aa5a73583da65f2b00d125d/manifests/grid-a2-fd-recovery-20261018/final-results/cross-domain/cross-domain-evidence-index-with-a2.json" r:id="rId119"/>
    <hyperlink ref="C89" tooltip="https://github.com/woobowen/recommend/blob/b44399926c98369191c2ff5c2425377c8c07d3c8/experiments/beauty_extensions/author/models.py" r:id="rId120"/>
    <hyperlink ref="C92" tooltip="https://github.com/woobowen/recommend/blob/d5c0db4203d6226a7aa5a73583da65f2b00d125d/manifests/grid-a2-fd-recovery-20261018/final-results/cross-domain/cross-domain-evidence-index-with-a2.json" r:id="rId121"/>
    <hyperlink ref="C95" tooltip="https://github.com/woobowen/recommend/blob/b44399926c98369191c2ff5c2425377c8c07d3c8/experiments/beauty_extensions/author/models.py" r:id="rId122"/>
    <hyperlink ref="C98" tooltip="https://github.com/woobowen/recommend/blob/d5c0db4203d6226a7aa5a73583da65f2b00d125d/manifests/grid-a2-fd-recovery-20261018/final-results/cross-domain/cross-domain-evidence-index-with-a2.json" r:id="rId123"/>
    <hyperlink ref="C101" tooltip="https://github.com/woobowen/recommend/blob/c8acac42d5e13ca80af75faac5d1f7bc33fb589f/experiments/beauty_extensions/baseline.py" r:id="rId124"/>
    <hyperlink ref="C104" tooltip="https://github.com/woobowen/recommend/blob/d5c0db4203d6226a7aa5a73583da65f2b00d125d/manifests/grid-a2-fd-recovery-20261018/final-results/cross-domain/cross-domain-evidence-index-with-a2.json" r:id="rId125"/>
    <hyperlink ref="C107" tooltip="https://github.com/woobowen/recommend/blob/d5c0db4203d6226a7aa5a73583da65f2b00d125d/manifests/grid-a2-fd-recovery-20261018/launch-v2/completed-result-reviews/sports_a1/audit_result.json" r:id="rId126"/>
    <hyperlink ref="C108" tooltip="https://github.com/woobowen/recommend/blob/d5c0db4203d6226a7aa5a73583da65f2b00d125d/manifests/grid-a-launch-20261017/compiled/specs/sportsa1-train.json" r:id="rId127"/>
    <hyperlink ref="C111" tooltip="https://github.com/woobowen/recommend/blob/d5c0db4203d6226a7aa5a73583da65f2b00d125d/manifests/grid-a2-fd-recovery-20261018/final-results/cross-domain/cross-domain-evidence-index-with-a2.json" r:id="rId128"/>
    <hyperlink ref="C114" tooltip="https://github.com/woobowen/recommend/blob/85b77f5e2a5b497fdc1f620649ba488fc783a245/experiments/beauty_extensions/author/models.py" r:id="rId129"/>
    <hyperlink ref="C115" tooltip="https://github.com/woobowen/recommend/blob/d5c0db4203d6226a7aa5a73583da65f2b00d125d/manifests/grid-a2-fd-recovery-20261018/final-results/FINAL_RESULTS.md" r:id="rId130"/>
    <hyperlink ref="C117" tooltip="https://github.com/woobowen/recommend/blob/4495c38459971aee36b00d881eb50f50fafa3159/references/wmh-original/GRID/src/models/modules/semantic_id/tiger_generation_model_mlp.py" r:id="rId131"/>
    <hyperlink ref="C118" tooltip="https://github.com/woobowen/recommend/blob/4495c38459971aee36b00d881eb50f50fafa3159/experiments/beauty_extensions/author/models.py" r:id="rId132"/>
    <hyperlink ref="C122" tooltip="https://github.com/woobowen/recommend/blob/d5c0db4203d6226a7aa5a73583da65f2b00d125d/manifests/grid-formal-20261015/FINAL_RECEIPT.md" r:id="rId133"/>
    <hyperlink ref="C125" tooltip="https://github.com/woobowen/recommend/blob/d5c0db4203d6226a7aa5a73583da65f2b00d125d/manifests/beauty-extensions/runs/beauty-mlp-formal-v1/test/metrics.json" r:id="rId134"/>
    <hyperlink ref="C128" tooltip="https://github.com/woobowen/recommend/blob/d5c0db4203d6226a7aa5a73583da65f2b00d125d/manifests/grid-formal-20261015/FINAL_RECEIPT.md" r:id="rId135"/>
    <hyperlink ref="C131" tooltip="https://github.com/woobowen/recommend/blob/d5c0db4203d6226a7aa5a73583da65f2b00d125d/manifests/grid-formal-20261015/runs/gf-20261015-toys-mlp-formal-v1/output/RESULT.json" r:id="rId136"/>
    <hyperlink ref="C134" tooltip="https://github.com/woobowen/recommend/blob/d5c0db4203d6226a7aa5a73583da65f2b00d125d/manifests/grid-formal-20261015/FINAL_RECEIPT.md" r:id="rId137"/>
    <hyperlink ref="C137" tooltip="https://github.com/woobowen/recommend/blob/d5c0db4203d6226a7aa5a73583da65f2b00d125d/manifests/grid-formal-20261015/runs/gf-20261015-sports-mlp-formal-v1/output/RESULT.json" r:id="rId138"/>
    <hyperlink ref="C139" tooltip="https://arxiv.org/html/2507.22224v1#S4" r:id="rId139"/>
    <hyperlink ref="C145" tooltip="https://github.com/woobowen/recommend/blob/d5c0db4203d6226a7aa5a73583da65f2b00d125d/manifests/grid-a2-fd-recovery-20261018/final-results/cross-domain/cross-domain-evidence-index-with-a2.json" r:id="rId140"/>
    <hyperlink ref="C147" tooltip="https://github.com/woobowen/recommend/blob/d5c0db4203d6226a7aa5a73583da65f2b00d125d/manifests/grid-a2-fd-recovery-20261018/final-results/cross-domain/cross-domain-original-metrics-with-a2.csv" r:id="rId141"/>
    <hyperlink ref="C148" tooltip="https://github.com/woobowen/recommend/blob/d5c0db4203d6226a7aa5a73583da65f2b00d125d/manifests/grid-a2-fd-recovery-20261018/final-results/cross-domain/cross-domain-evidence-index-with-a2.json" r:id="rId142"/>
    <hyperlink ref="E9" location="'GRID实验总表'!A138" tooltip="跳转到对应方法说明"/>
    <hyperlink ref="E10" location="'GRID实验总表'!A138" tooltip="跳转到对应方法说明"/>
    <hyperlink ref="E11" location="'GRID实验总表'!A138" tooltip="跳转到对应方法说明"/>
    <hyperlink ref="E12" location="'GRID实验总表'!A66" tooltip="跳转到对应方法说明"/>
    <hyperlink ref="E13" location="'GRID实验总表'!A66" tooltip="跳转到对应方法说明"/>
    <hyperlink ref="E14" location="'GRID实验总表'!A66" tooltip="跳转到对应方法说明"/>
    <hyperlink ref="E15" location="'GRID实验总表'!A72" tooltip="跳转到对应方法说明"/>
    <hyperlink ref="E16" location="'GRID实验总表'!A72" tooltip="跳转到对应方法说明"/>
    <hyperlink ref="E17" location="'GRID实验总表'!A72" tooltip="跳转到对应方法说明"/>
    <hyperlink ref="E18" location="'GRID实验总表'!A120" tooltip="跳转到对应方法说明"/>
    <hyperlink ref="E19" location="'GRID实验总表'!A120" tooltip="跳转到对应方法说明"/>
    <hyperlink ref="E20" location="'GRID实验总表'!A138" tooltip="跳转到对应方法说明"/>
    <hyperlink ref="E21" location="'GRID实验总表'!A138" tooltip="跳转到对应方法说明"/>
    <hyperlink ref="E22" location="'GRID实验总表'!A138" tooltip="跳转到对应方法说明"/>
    <hyperlink ref="E23" location="'GRID实验总表'!A78" tooltip="跳转到对应方法说明"/>
    <hyperlink ref="E24" location="'GRID实验总表'!A78" tooltip="跳转到对应方法说明"/>
    <hyperlink ref="E25" location="'GRID实验总表'!A78" tooltip="跳转到对应方法说明"/>
    <hyperlink ref="E26" location="'GRID实验总表'!A84" tooltip="跳转到对应方法说明"/>
    <hyperlink ref="E27" location="'GRID实验总表'!A84" tooltip="跳转到对应方法说明"/>
    <hyperlink ref="E28" location="'GRID实验总表'!A84" tooltip="跳转到对应方法说明"/>
    <hyperlink ref="E29" location="'GRID实验总表'!A90" tooltip="跳转到对应方法说明"/>
    <hyperlink ref="E30" location="'GRID实验总表'!A90" tooltip="跳转到对应方法说明"/>
    <hyperlink ref="E31" location="'GRID实验总表'!A90" tooltip="跳转到对应方法说明"/>
    <hyperlink ref="E32" location="'GRID实验总表'!A126" tooltip="跳转到对应方法说明"/>
    <hyperlink ref="E33" location="'GRID实验总表'!A126" tooltip="跳转到对应方法说明"/>
    <hyperlink ref="E34" location="'GRID实验总表'!A126" tooltip="跳转到对应方法说明"/>
    <hyperlink ref="E35" location="'GRID实验总表'!A138" tooltip="跳转到对应方法说明"/>
    <hyperlink ref="E36" location="'GRID实验总表'!A138" tooltip="跳转到对应方法说明"/>
    <hyperlink ref="E37" location="'GRID实验总表'!A138" tooltip="跳转到对应方法说明"/>
    <hyperlink ref="E38" location="'GRID实验总表'!A96" tooltip="跳转到对应方法说明"/>
    <hyperlink ref="E39" location="'GRID实验总表'!A96" tooltip="跳转到对应方法说明"/>
    <hyperlink ref="E40" location="'GRID实验总表'!A96" tooltip="跳转到对应方法说明"/>
    <hyperlink ref="E41" location="'GRID实验总表'!A102" tooltip="跳转到对应方法说明"/>
    <hyperlink ref="E42" location="'GRID实验总表'!A102" tooltip="跳转到对应方法说明"/>
    <hyperlink ref="E43" location="'GRID实验总表'!A102" tooltip="跳转到对应方法说明"/>
    <hyperlink ref="E44" location="'GRID实验总表'!A109" tooltip="跳转到对应方法说明"/>
    <hyperlink ref="E45" location="'GRID实验总表'!A109" tooltip="跳转到对应方法说明"/>
    <hyperlink ref="E46" location="'GRID实验总表'!A109" tooltip="跳转到对应方法说明"/>
    <hyperlink ref="E47" location="'GRID实验总表'!A132" tooltip="跳转到对应方法说明"/>
    <hyperlink ref="A150" location="'GRID实验总表'!A8" tooltip="跳转到对应方法说明"/>
  </hyperlinks>
  <printOptions horizontalCentered="0"/>
  <pageMargins left="0.25" right="0.25" top="0.4" bottom="0.4" header="0.2" footer="0.2"/>
  <pageSetup paperSize="8" orientation="landscape" scale="75" fitToWidth="0" fitToHeight="0"/>
  <headerFooter>
    <oddFooter>GRID / Semantic ID | 固定结果统计 &amp;P / &amp;N</oddFooter>
  </headerFooter>
  <tableParts count="1">
    <tablePart r:id="rIdTable"/>
  </tableParts>
</worksheet>
</file>